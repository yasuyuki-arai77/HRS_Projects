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ork\01_仕事\02_案件\202306_ヒロセ電機\000_案件\20231218_全社用レポート作成\050_設計\"/>
    </mc:Choice>
  </mc:AlternateContent>
  <xr:revisionPtr revIDLastSave="0" documentId="13_ncr:1_{E1AB32F2-9006-4B85-9134-B1787B7E6F88}" xr6:coauthVersionLast="47" xr6:coauthVersionMax="47" xr10:uidLastSave="{00000000-0000-0000-0000-000000000000}"/>
  <bookViews>
    <workbookView xWindow="-120" yWindow="-120" windowWidth="29040" windowHeight="15720" tabRatio="824" xr2:uid="{C7A1EAAC-8591-46CF-B2A0-CE15F2B6180E}"/>
  </bookViews>
  <sheets>
    <sheet name="テーブル一覧" sheetId="27" r:id="rId1"/>
    <sheet name="ライン一覧マスタ" sheetId="29" r:id="rId2"/>
    <sheet name="停止要因マスタ" sheetId="31" r:id="rId3"/>
    <sheet name="手配先マスタ" sheetId="59" r:id="rId4"/>
    <sheet name="cavマスタ" sheetId="63" r:id="rId5"/>
    <sheet name="STOP_LOG" sheetId="38" r:id="rId6"/>
    <sheet name="PROD_LOG" sheetId="58" r:id="rId7"/>
    <sheet name="数値検査_LOG" sheetId="60" r:id="rId8"/>
  </sheets>
  <definedNames>
    <definedName name="_xlnm._FilterDatabase" localSheetId="4" hidden="1">cavマスタ!$A$8:$C$8</definedName>
    <definedName name="_xlnm._FilterDatabase" localSheetId="6" hidden="1">PROD_LOG!$A$8:$C$8</definedName>
    <definedName name="_xlnm._FilterDatabase" localSheetId="5" hidden="1">STOP_LOG!$A$8:$C$8</definedName>
    <definedName name="_xlnm._FilterDatabase" localSheetId="0" hidden="1">テーブル一覧!$A$5:$H$5</definedName>
    <definedName name="_xlnm._FilterDatabase" localSheetId="1" hidden="1">ライン一覧マスタ!$A$8:$C$8</definedName>
    <definedName name="_xlnm._FilterDatabase" localSheetId="3" hidden="1">手配先マスタ!$A$8:$C$8</definedName>
    <definedName name="_xlnm._FilterDatabase" localSheetId="7" hidden="1">数値検査_LOG!$A$8:$C$8</definedName>
    <definedName name="_xlnm._FilterDatabase" localSheetId="2" hidden="1">停止要因マスタ!$A$8:$C$8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63" l="1"/>
  <c r="A12" i="63"/>
  <c r="A13" i="63"/>
  <c r="A10" i="63"/>
  <c r="A9" i="63"/>
  <c r="C6" i="63"/>
  <c r="C5" i="63"/>
  <c r="C4" i="63"/>
  <c r="C3" i="63"/>
  <c r="C6" i="38"/>
  <c r="C5" i="38"/>
  <c r="C4" i="38"/>
  <c r="C3" i="38"/>
  <c r="C6" i="58"/>
  <c r="C5" i="58"/>
  <c r="C4" i="58"/>
  <c r="C3" i="58"/>
  <c r="C6" i="60"/>
  <c r="C5" i="60"/>
  <c r="C4" i="60"/>
  <c r="C3" i="60"/>
  <c r="C6" i="59"/>
  <c r="C5" i="59"/>
  <c r="C4" i="59"/>
  <c r="C3" i="59"/>
  <c r="C6" i="31"/>
  <c r="C5" i="31"/>
  <c r="C4" i="31"/>
  <c r="C3" i="31"/>
  <c r="C6" i="29"/>
  <c r="C5" i="29"/>
  <c r="C4" i="29"/>
  <c r="C3" i="29"/>
  <c r="A12" i="29" l="1"/>
  <c r="A33" i="60" l="1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10" i="59"/>
  <c r="A9" i="59"/>
  <c r="A11" i="38" l="1"/>
  <c r="A11" i="58"/>
  <c r="A20" i="58" l="1"/>
  <c r="A21" i="58"/>
  <c r="A22" i="58"/>
  <c r="A23" i="58"/>
  <c r="A10" i="31"/>
  <c r="A10" i="38"/>
  <c r="A12" i="38"/>
  <c r="A13" i="38"/>
  <c r="A14" i="38"/>
  <c r="A10" i="58"/>
  <c r="A12" i="58"/>
  <c r="A13" i="58"/>
  <c r="A14" i="58"/>
  <c r="A15" i="58"/>
  <c r="A16" i="58"/>
  <c r="A17" i="58"/>
  <c r="A18" i="58"/>
  <c r="A19" i="58"/>
  <c r="A10" i="29"/>
  <c r="A11" i="29"/>
  <c r="A9" i="31"/>
  <c r="A9" i="38"/>
  <c r="A9" i="58"/>
  <c r="A9" i="29"/>
</calcChain>
</file>

<file path=xl/sharedStrings.xml><?xml version="1.0" encoding="utf-8"?>
<sst xmlns="http://schemas.openxmlformats.org/spreadsheetml/2006/main" count="285" uniqueCount="167">
  <si>
    <t>説明</t>
    <rPh sb="0" eb="2">
      <t>セツメイ</t>
    </rPh>
    <phoneticPr fontId="1"/>
  </si>
  <si>
    <t>備考</t>
    <rPh sb="0" eb="2">
      <t>ビコウ</t>
    </rPh>
    <phoneticPr fontId="1"/>
  </si>
  <si>
    <t>マスタ</t>
    <phoneticPr fontId="1"/>
  </si>
  <si>
    <t>No</t>
    <phoneticPr fontId="1"/>
  </si>
  <si>
    <t>No</t>
    <phoneticPr fontId="38"/>
  </si>
  <si>
    <t>列名</t>
    <rPh sb="0" eb="1">
      <t>レツ</t>
    </rPh>
    <rPh sb="1" eb="2">
      <t>メイ</t>
    </rPh>
    <phoneticPr fontId="38"/>
  </si>
  <si>
    <t>備考</t>
    <rPh sb="0" eb="2">
      <t>ビコウ</t>
    </rPh>
    <phoneticPr fontId="38"/>
  </si>
  <si>
    <t>取得元システム</t>
    <rPh sb="0" eb="2">
      <t>シュトク</t>
    </rPh>
    <rPh sb="2" eb="3">
      <t>モト</t>
    </rPh>
    <phoneticPr fontId="38"/>
  </si>
  <si>
    <t>取得元システム</t>
    <rPh sb="0" eb="2">
      <t>シュトク</t>
    </rPh>
    <rPh sb="2" eb="3">
      <t>モト</t>
    </rPh>
    <phoneticPr fontId="1"/>
  </si>
  <si>
    <t>テーブル一覧シートへ</t>
    <phoneticPr fontId="38"/>
  </si>
  <si>
    <t>マスタ</t>
    <phoneticPr fontId="1"/>
  </si>
  <si>
    <t>トランザクション</t>
    <phoneticPr fontId="1"/>
  </si>
  <si>
    <t>テーブル種別</t>
    <rPh sb="4" eb="6">
      <t>シュベツ</t>
    </rPh>
    <phoneticPr fontId="1"/>
  </si>
  <si>
    <t>テーブル種別</t>
    <rPh sb="4" eb="6">
      <t>シュベツ</t>
    </rPh>
    <phoneticPr fontId="38"/>
  </si>
  <si>
    <t>時刻</t>
  </si>
  <si>
    <t>◆データマート定義一覧</t>
    <rPh sb="7" eb="9">
      <t>テイギ</t>
    </rPh>
    <rPh sb="9" eb="11">
      <t>イチラン</t>
    </rPh>
    <phoneticPr fontId="1"/>
  </si>
  <si>
    <t>下記にデータマートの一覧を記す。</t>
    <rPh sb="0" eb="2">
      <t>カキ</t>
    </rPh>
    <rPh sb="10" eb="12">
      <t>イチラン</t>
    </rPh>
    <rPh sb="13" eb="14">
      <t>シル</t>
    </rPh>
    <phoneticPr fontId="1"/>
  </si>
  <si>
    <t>停止要因マスタ</t>
    <rPh sb="0" eb="2">
      <t>テイシ</t>
    </rPh>
    <rPh sb="2" eb="4">
      <t>ヨウイン</t>
    </rPh>
    <phoneticPr fontId="1"/>
  </si>
  <si>
    <t>物理名</t>
    <rPh sb="0" eb="2">
      <t>ブツリ</t>
    </rPh>
    <rPh sb="2" eb="3">
      <t>メイ</t>
    </rPh>
    <phoneticPr fontId="1"/>
  </si>
  <si>
    <t>マート名</t>
    <rPh sb="3" eb="4">
      <t>メイ</t>
    </rPh>
    <phoneticPr fontId="1"/>
  </si>
  <si>
    <t>論理名</t>
    <rPh sb="0" eb="2">
      <t>ロンリ</t>
    </rPh>
    <rPh sb="2" eb="3">
      <t>メイ</t>
    </rPh>
    <phoneticPr fontId="1"/>
  </si>
  <si>
    <t>mst_停止要因</t>
    <phoneticPr fontId="1"/>
  </si>
  <si>
    <t>テーブル物理名</t>
    <rPh sb="4" eb="6">
      <t>ブツリ</t>
    </rPh>
    <rPh sb="6" eb="7">
      <t>メイ</t>
    </rPh>
    <phoneticPr fontId="38"/>
  </si>
  <si>
    <t>テーブル論理名</t>
    <rPh sb="4" eb="6">
      <t>ロンリ</t>
    </rPh>
    <rPh sb="6" eb="7">
      <t>メイ</t>
    </rPh>
    <phoneticPr fontId="38"/>
  </si>
  <si>
    <t>NAS</t>
    <phoneticPr fontId="1"/>
  </si>
  <si>
    <t>Nコード</t>
  </si>
  <si>
    <t>ラインNo</t>
    <phoneticPr fontId="1"/>
  </si>
  <si>
    <t>要因No</t>
    <phoneticPr fontId="1"/>
  </si>
  <si>
    <t>稼働ステータス</t>
    <phoneticPr fontId="1"/>
  </si>
  <si>
    <t>生産ステータス</t>
    <phoneticPr fontId="1"/>
  </si>
  <si>
    <t>単位：個</t>
    <rPh sb="0" eb="2">
      <t>タンイ</t>
    </rPh>
    <rPh sb="3" eb="4">
      <t>コ</t>
    </rPh>
    <phoneticPr fontId="1"/>
  </si>
  <si>
    <t>単位：％</t>
    <rPh sb="0" eb="2">
      <t>タンイ</t>
    </rPh>
    <phoneticPr fontId="1"/>
  </si>
  <si>
    <t>単位：10ms</t>
    <rPh sb="0" eb="2">
      <t>タンイ</t>
    </rPh>
    <phoneticPr fontId="1"/>
  </si>
  <si>
    <t>現在計画数</t>
    <phoneticPr fontId="1"/>
  </si>
  <si>
    <t>進捗率</t>
    <phoneticPr fontId="1"/>
  </si>
  <si>
    <t>投入数</t>
    <phoneticPr fontId="1"/>
  </si>
  <si>
    <t>生産数</t>
    <phoneticPr fontId="1"/>
  </si>
  <si>
    <t>梱包数</t>
    <phoneticPr fontId="1"/>
  </si>
  <si>
    <t>計画数</t>
    <phoneticPr fontId="1"/>
  </si>
  <si>
    <t>不良数</t>
    <phoneticPr fontId="1"/>
  </si>
  <si>
    <t>不良率ppm</t>
    <phoneticPr fontId="1"/>
  </si>
  <si>
    <t>計画マシンタクト</t>
    <phoneticPr fontId="1"/>
  </si>
  <si>
    <t>平均タクト</t>
    <phoneticPr fontId="1"/>
  </si>
  <si>
    <t>概要</t>
    <rPh sb="0" eb="2">
      <t>ガイヨウ</t>
    </rPh>
    <phoneticPr fontId="38"/>
  </si>
  <si>
    <t>凡例</t>
    <rPh sb="0" eb="2">
      <t>ハンレイ</t>
    </rPh>
    <phoneticPr fontId="38"/>
  </si>
  <si>
    <t>0:生産開始
1:定時
2：一時停止
3:生産終了
4:定時終了</t>
    <phoneticPr fontId="1"/>
  </si>
  <si>
    <t>2023/06/01 08:00:01</t>
  </si>
  <si>
    <t>N000002169</t>
  </si>
  <si>
    <t>10FH75-01</t>
  </si>
  <si>
    <t>1</t>
  </si>
  <si>
    <t>4</t>
  </si>
  <si>
    <t>N000001514</t>
  </si>
  <si>
    <t>10FH75-06</t>
  </si>
  <si>
    <t>12000</t>
  </si>
  <si>
    <t>515</t>
  </si>
  <si>
    <t>2023/06/02 08:00:00</t>
  </si>
  <si>
    <t>12438</t>
  </si>
  <si>
    <t>12417</t>
  </si>
  <si>
    <t>12159</t>
  </si>
  <si>
    <t>101.3</t>
  </si>
  <si>
    <t>554</t>
  </si>
  <si>
    <t>6</t>
  </si>
  <si>
    <t>482</t>
  </si>
  <si>
    <t>稼働ステータスが変動した時刻</t>
    <rPh sb="0" eb="2">
      <t>カドウ</t>
    </rPh>
    <rPh sb="8" eb="10">
      <t>ヘンドウ</t>
    </rPh>
    <rPh sb="12" eb="14">
      <t>ジコク</t>
    </rPh>
    <phoneticPr fontId="1"/>
  </si>
  <si>
    <t>ラインを一意に識別するコード</t>
    <rPh sb="4" eb="6">
      <t>イチイ</t>
    </rPh>
    <rPh sb="7" eb="9">
      <t>シキベツ</t>
    </rPh>
    <phoneticPr fontId="1"/>
  </si>
  <si>
    <t>マシンのステータス状態を表すもの</t>
    <rPh sb="9" eb="11">
      <t>ジョウタイ</t>
    </rPh>
    <rPh sb="12" eb="13">
      <t>アラワ</t>
    </rPh>
    <phoneticPr fontId="1"/>
  </si>
  <si>
    <t>0:開始待
1:開始
2:停止
3:再開
4:終了</t>
    <phoneticPr fontId="1"/>
  </si>
  <si>
    <t>ステータスが遷移した要因のNo</t>
    <rPh sb="6" eb="8">
      <t>センイ</t>
    </rPh>
    <rPh sb="10" eb="12">
      <t>ヨウイン</t>
    </rPh>
    <phoneticPr fontId="1"/>
  </si>
  <si>
    <t>レコードが生成された時刻</t>
    <rPh sb="5" eb="7">
      <t>セイセイ</t>
    </rPh>
    <rPh sb="10" eb="12">
      <t>ジコク</t>
    </rPh>
    <phoneticPr fontId="1"/>
  </si>
  <si>
    <t>１日の計画数</t>
    <rPh sb="1" eb="2">
      <t>ニチ</t>
    </rPh>
    <rPh sb="3" eb="6">
      <t>ケイカクスウ</t>
    </rPh>
    <phoneticPr fontId="1"/>
  </si>
  <si>
    <t>-</t>
    <phoneticPr fontId="1"/>
  </si>
  <si>
    <t>手配先コード</t>
    <rPh sb="0" eb="3">
      <t>テハイサキ</t>
    </rPh>
    <phoneticPr fontId="1"/>
  </si>
  <si>
    <t>手配先を一意に識別するコード</t>
    <rPh sb="0" eb="3">
      <t>テハイサキ</t>
    </rPh>
    <rPh sb="4" eb="6">
      <t>イチイ</t>
    </rPh>
    <rPh sb="7" eb="9">
      <t>シキベツ</t>
    </rPh>
    <phoneticPr fontId="1"/>
  </si>
  <si>
    <t>mst_ライン一覧</t>
    <rPh sb="7" eb="9">
      <t>イチラン</t>
    </rPh>
    <phoneticPr fontId="1"/>
  </si>
  <si>
    <t>ラインNo</t>
  </si>
  <si>
    <t>PF名</t>
  </si>
  <si>
    <t>F2</t>
  </si>
  <si>
    <t>1Gr</t>
  </si>
  <si>
    <t>グループ名、協力会社などロケーションを識別</t>
    <rPh sb="4" eb="5">
      <t>メイ</t>
    </rPh>
    <rPh sb="6" eb="10">
      <t>キョウリョクガイシャ</t>
    </rPh>
    <rPh sb="19" eb="21">
      <t>シキベツ</t>
    </rPh>
    <phoneticPr fontId="1"/>
  </si>
  <si>
    <t>ライン一覧マスタ</t>
    <rPh sb="3" eb="5">
      <t>イチラン</t>
    </rPh>
    <phoneticPr fontId="1"/>
  </si>
  <si>
    <t>ライン一覧のマスタ</t>
    <rPh sb="3" eb="5">
      <t>イチラン</t>
    </rPh>
    <phoneticPr fontId="1"/>
  </si>
  <si>
    <t>ラインに紐づくプラットフォーム名</t>
    <rPh sb="4" eb="5">
      <t>ヒモ</t>
    </rPh>
    <rPh sb="15" eb="16">
      <t>メイ</t>
    </rPh>
    <phoneticPr fontId="1"/>
  </si>
  <si>
    <t>停止要因項目</t>
    <rPh sb="0" eb="2">
      <t>テイシ</t>
    </rPh>
    <rPh sb="2" eb="4">
      <t>ヨウイン</t>
    </rPh>
    <rPh sb="4" eb="6">
      <t>コウモク</t>
    </rPh>
    <phoneticPr fontId="1"/>
  </si>
  <si>
    <t>要因No</t>
    <rPh sb="0" eb="2">
      <t>ヨウイン</t>
    </rPh>
    <phoneticPr fontId="1"/>
  </si>
  <si>
    <t>運転中</t>
    <rPh sb="0" eb="3">
      <t>ウンテンチュウ</t>
    </rPh>
    <phoneticPr fontId="1"/>
  </si>
  <si>
    <t>停止要因のNoを一覧に識別するコード</t>
    <rPh sb="0" eb="4">
      <t>テイシヨウイン</t>
    </rPh>
    <rPh sb="8" eb="10">
      <t>イチラン</t>
    </rPh>
    <rPh sb="11" eb="13">
      <t>シキベツ</t>
    </rPh>
    <phoneticPr fontId="1"/>
  </si>
  <si>
    <t>停止要因の項目名</t>
    <rPh sb="0" eb="4">
      <t>テイシヨウイン</t>
    </rPh>
    <rPh sb="5" eb="8">
      <t>コウモクメイ</t>
    </rPh>
    <phoneticPr fontId="1"/>
  </si>
  <si>
    <t>◆その他前提事項</t>
    <rPh sb="3" eb="4">
      <t>タ</t>
    </rPh>
    <rPh sb="4" eb="6">
      <t>ゼンテイ</t>
    </rPh>
    <rPh sb="6" eb="8">
      <t>ジコウ</t>
    </rPh>
    <phoneticPr fontId="1"/>
  </si>
  <si>
    <t>logの取り込み期間はデフォルトで2か月とする</t>
    <rPh sb="4" eb="5">
      <t>ト</t>
    </rPh>
    <rPh sb="6" eb="7">
      <t>コ</t>
    </rPh>
    <rPh sb="8" eb="10">
      <t>キカン</t>
    </rPh>
    <rPh sb="19" eb="20">
      <t>ゲツ</t>
    </rPh>
    <phoneticPr fontId="1"/>
  </si>
  <si>
    <t>場所グループコード</t>
  </si>
  <si>
    <t>0416901</t>
    <phoneticPr fontId="1"/>
  </si>
  <si>
    <t>マシンのステータスが遷移したタイミングでレコードを作成。1日の基準時間は8:00:01～翌8:00:00で1ファイルとなる</t>
    <rPh sb="10" eb="12">
      <t>センイ</t>
    </rPh>
    <rPh sb="25" eb="27">
      <t>サクセイ</t>
    </rPh>
    <rPh sb="29" eb="30">
      <t>ニチ</t>
    </rPh>
    <rPh sb="31" eb="33">
      <t>キジュン</t>
    </rPh>
    <rPh sb="33" eb="35">
      <t>ジカン</t>
    </rPh>
    <phoneticPr fontId="1"/>
  </si>
  <si>
    <t>1時間毎に1レコードの生産数を生成。1日の基準時間は8:00:01～翌8:00:00で1ファイルが25レコードとなる</t>
    <rPh sb="1" eb="3">
      <t>ジカン</t>
    </rPh>
    <rPh sb="3" eb="4">
      <t>ゴト</t>
    </rPh>
    <rPh sb="11" eb="14">
      <t>セイサンスウ</t>
    </rPh>
    <rPh sb="15" eb="17">
      <t>セイセイ</t>
    </rPh>
    <rPh sb="19" eb="20">
      <t>ニチ</t>
    </rPh>
    <rPh sb="21" eb="25">
      <t>キジュンジカン</t>
    </rPh>
    <phoneticPr fontId="1"/>
  </si>
  <si>
    <t>STOP_LOG</t>
  </si>
  <si>
    <t>STOP_LOGの停止要因と紐づくマスタ</t>
    <rPh sb="9" eb="13">
      <t>テイシヨウイン</t>
    </rPh>
    <rPh sb="14" eb="15">
      <t>ヒモ</t>
    </rPh>
    <phoneticPr fontId="1"/>
  </si>
  <si>
    <t>PROD_LOG</t>
  </si>
  <si>
    <t>mst_手配先</t>
    <rPh sb="4" eb="6">
      <t>テハイ</t>
    </rPh>
    <rPh sb="6" eb="7">
      <t>サキ</t>
    </rPh>
    <phoneticPr fontId="2"/>
  </si>
  <si>
    <t>手配先マスタ</t>
    <rPh sb="0" eb="3">
      <t>テハイサキ</t>
    </rPh>
    <phoneticPr fontId="2"/>
  </si>
  <si>
    <t>手配先コード</t>
    <rPh sb="0" eb="2">
      <t>テハイ</t>
    </rPh>
    <rPh sb="2" eb="3">
      <t>サキ</t>
    </rPh>
    <phoneticPr fontId="2"/>
  </si>
  <si>
    <t>手配先名</t>
  </si>
  <si>
    <t>手配先を一覧に識別するコード</t>
    <rPh sb="0" eb="3">
      <t>テハイサキ</t>
    </rPh>
    <rPh sb="4" eb="6">
      <t>イチラン</t>
    </rPh>
    <rPh sb="7" eb="9">
      <t>シキベツ</t>
    </rPh>
    <phoneticPr fontId="1"/>
  </si>
  <si>
    <t>手配先の名称</t>
    <rPh sb="0" eb="3">
      <t>テハイサキ</t>
    </rPh>
    <rPh sb="4" eb="6">
      <t>メイショウ</t>
    </rPh>
    <phoneticPr fontId="1"/>
  </si>
  <si>
    <t>有限会社エムデー</t>
    <rPh sb="0" eb="4">
      <t>ユウゲンガイシャ</t>
    </rPh>
    <phoneticPr fontId="1"/>
  </si>
  <si>
    <t>0002301</t>
    <phoneticPr fontId="1"/>
  </si>
  <si>
    <t>数値検査_LOG</t>
    <rPh sb="0" eb="2">
      <t>スウチ</t>
    </rPh>
    <rPh sb="2" eb="4">
      <t>ケンサ</t>
    </rPh>
    <phoneticPr fontId="1"/>
  </si>
  <si>
    <t>ロットNo</t>
  </si>
  <si>
    <t>チェックシートSEQ</t>
  </si>
  <si>
    <t>チェックシート帳票名</t>
  </si>
  <si>
    <t>手配先コード</t>
  </si>
  <si>
    <t>ラインNo.</t>
  </si>
  <si>
    <t>製造書指示番号</t>
  </si>
  <si>
    <t>着手日</t>
  </si>
  <si>
    <t>品目コード</t>
  </si>
  <si>
    <t>品名</t>
  </si>
  <si>
    <t>測定箇所SEQ</t>
  </si>
  <si>
    <t>測定箇所名</t>
  </si>
  <si>
    <t>検査タイプ</t>
  </si>
  <si>
    <t>検査工程名</t>
  </si>
  <si>
    <t>Ｎ数</t>
  </si>
  <si>
    <t>測定値</t>
  </si>
  <si>
    <t>基準</t>
  </si>
  <si>
    <t>上限</t>
  </si>
  <si>
    <t>下限</t>
  </si>
  <si>
    <t>XBAR_CL</t>
  </si>
  <si>
    <t>XBAR_UCL</t>
  </si>
  <si>
    <t>XBAR_LCL</t>
  </si>
  <si>
    <t>R_CL</t>
  </si>
  <si>
    <t>R_UCL</t>
  </si>
  <si>
    <t>R_LCL</t>
  </si>
  <si>
    <t>手配先のマスタ</t>
    <rPh sb="0" eb="3">
      <t>テハイサキ</t>
    </rPh>
    <phoneticPr fontId="1"/>
  </si>
  <si>
    <t>Location</t>
    <phoneticPr fontId="42"/>
  </si>
  <si>
    <t>製品型</t>
    <rPh sb="0" eb="3">
      <t>セイヒンガタ</t>
    </rPh>
    <phoneticPr fontId="42"/>
  </si>
  <si>
    <t>FH</t>
    <phoneticPr fontId="1"/>
  </si>
  <si>
    <t>FH/NCBの区分</t>
    <rPh sb="7" eb="9">
      <t>クブン</t>
    </rPh>
    <phoneticPr fontId="1"/>
  </si>
  <si>
    <t>T01</t>
    <phoneticPr fontId="1"/>
  </si>
  <si>
    <t>M01</t>
    <phoneticPr fontId="1"/>
  </si>
  <si>
    <t>M02</t>
  </si>
  <si>
    <t>M03</t>
  </si>
  <si>
    <t>M04</t>
  </si>
  <si>
    <t>T02</t>
  </si>
  <si>
    <t>T03</t>
  </si>
  <si>
    <t>M02</t>
    <phoneticPr fontId="1"/>
  </si>
  <si>
    <t>M03</t>
    <phoneticPr fontId="1"/>
  </si>
  <si>
    <t>M04</t>
    <phoneticPr fontId="1"/>
  </si>
  <si>
    <t>T02</t>
    <phoneticPr fontId="1"/>
  </si>
  <si>
    <t>T03</t>
    <phoneticPr fontId="1"/>
  </si>
  <si>
    <t>mst_cav一覧</t>
    <rPh sb="7" eb="9">
      <t>イチラン</t>
    </rPh>
    <phoneticPr fontId="1"/>
  </si>
  <si>
    <t>cavマスタ</t>
    <phoneticPr fontId="1"/>
  </si>
  <si>
    <t>ケースキャビ</t>
  </si>
  <si>
    <t>未使用だがそのまま取り込む</t>
    <rPh sb="0" eb="3">
      <t>ミシヨウ</t>
    </rPh>
    <rPh sb="9" eb="10">
      <t>ト</t>
    </rPh>
    <rPh sb="11" eb="12">
      <t>コ</t>
    </rPh>
    <phoneticPr fontId="38"/>
  </si>
  <si>
    <t>FH75-40S工顕データ</t>
  </si>
  <si>
    <t>1218601</t>
  </si>
  <si>
    <t>東北ヒロセ電機　CIPPS2･3</t>
  </si>
  <si>
    <t>580-5300-0 00</t>
  </si>
  <si>
    <t>FH75-40S-0.5SH</t>
  </si>
  <si>
    <t>020</t>
  </si>
  <si>
    <t>中間</t>
  </si>
  <si>
    <t>167748571</t>
  </si>
  <si>
    <t>230501-01-1</t>
  </si>
  <si>
    <t>端子圧入寸法_L側</t>
  </si>
  <si>
    <t>データID</t>
  </si>
  <si>
    <t>42_20</t>
  </si>
  <si>
    <t>cav情報マスタ.xlsx</t>
    <phoneticPr fontId="1"/>
  </si>
  <si>
    <t>0.054</t>
  </si>
  <si>
    <t>寸法検査レポート用。数値検査_LOGからキャビ情報のみを手で抜き出した疑似マスタ</t>
    <rPh sb="10" eb="14">
      <t>スウチケンサ</t>
    </rPh>
    <rPh sb="23" eb="25">
      <t>ジョウホウ</t>
    </rPh>
    <rPh sb="28" eb="29">
      <t>テ</t>
    </rPh>
    <rPh sb="30" eb="31">
      <t>ヌ</t>
    </rPh>
    <rPh sb="32" eb="33">
      <t>ダ</t>
    </rPh>
    <rPh sb="35" eb="37">
      <t>ギジ</t>
    </rPh>
    <phoneticPr fontId="1"/>
  </si>
  <si>
    <t>熊谷さん手作成</t>
    <rPh sb="4" eb="5">
      <t>テ</t>
    </rPh>
    <phoneticPr fontId="1"/>
  </si>
  <si>
    <t>寸法検査レポートのソース。このLOG自体にはキャビ情報と検査値が混在している為、レポートで検査値のみに加工して使用</t>
    <rPh sb="0" eb="4">
      <t>スンポウケンサ</t>
    </rPh>
    <rPh sb="18" eb="20">
      <t>ジタイ</t>
    </rPh>
    <rPh sb="25" eb="27">
      <t>ジョウホウ</t>
    </rPh>
    <rPh sb="28" eb="30">
      <t>ケンサ</t>
    </rPh>
    <rPh sb="30" eb="31">
      <t>チ</t>
    </rPh>
    <rPh sb="32" eb="34">
      <t>コンザイ</t>
    </rPh>
    <rPh sb="38" eb="39">
      <t>タメ</t>
    </rPh>
    <rPh sb="45" eb="48">
      <t>ケンサチ</t>
    </rPh>
    <rPh sb="51" eb="53">
      <t>カコウ</t>
    </rPh>
    <rPh sb="55" eb="57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</si>
</sst>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00000000"/>
    <numFmt numFmtId="177" formatCode="#,##0;\-#,##0;&quot;-&quot;"/>
    <numFmt numFmtId="178" formatCode="&quot;$&quot;#,##0_);\(&quot;$&quot;#,##0\)"/>
    <numFmt numFmtId="179" formatCode="&quot;$&quot;#,##0;[Red]\-&quot;$&quot;#,##0"/>
    <numFmt numFmtId="180" formatCode="&quot;$&quot;#,##0.00;[Red]\-&quot;$&quot;#,##0.00"/>
  </numFmts>
  <fonts count="4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9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Meiryo UI"/>
      <family val="3"/>
      <charset val="128"/>
    </font>
    <font>
      <sz val="6"/>
      <name val="メイリオ"/>
      <family val="3"/>
      <charset val="128"/>
    </font>
    <font>
      <sz val="1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0"/>
      <color rgb="FF000000"/>
      <name val="ＭＳ 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1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43">
    <xf numFmtId="0" fontId="0" fillId="0" borderId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3" fillId="0" borderId="0">
      <alignment vertical="center" wrapText="1"/>
    </xf>
    <xf numFmtId="178" fontId="24" fillId="0" borderId="2" applyAlignment="0" applyProtection="0"/>
    <xf numFmtId="177" fontId="25" fillId="0" borderId="0" applyFill="0" applyBorder="0" applyAlignment="0"/>
    <xf numFmtId="0" fontId="26" fillId="0" borderId="0"/>
    <xf numFmtId="38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38" fontId="29" fillId="16" borderId="0" applyNumberFormat="0" applyBorder="0" applyAlignment="0" applyProtection="0"/>
    <xf numFmtId="0" fontId="30" fillId="0" borderId="0">
      <alignment horizontal="left"/>
    </xf>
    <xf numFmtId="0" fontId="31" fillId="0" borderId="3" applyNumberFormat="0" applyAlignment="0" applyProtection="0">
      <alignment horizontal="left" vertical="center"/>
    </xf>
    <xf numFmtId="0" fontId="31" fillId="0" borderId="4">
      <alignment horizontal="left" vertical="center"/>
    </xf>
    <xf numFmtId="10" fontId="29" fillId="16" borderId="1" applyNumberFormat="0" applyBorder="0" applyAlignment="0" applyProtection="0"/>
    <xf numFmtId="0" fontId="32" fillId="0" borderId="5"/>
    <xf numFmtId="176" fontId="33" fillId="0" borderId="0"/>
    <xf numFmtId="176" fontId="33" fillId="0" borderId="0"/>
    <xf numFmtId="176" fontId="33" fillId="0" borderId="0"/>
    <xf numFmtId="0" fontId="28" fillId="0" borderId="0"/>
    <xf numFmtId="10" fontId="28" fillId="0" borderId="0" applyFont="0" applyFill="0" applyBorder="0" applyAlignment="0" applyProtection="0"/>
    <xf numFmtId="0" fontId="27" fillId="0" borderId="0" applyNumberFormat="0" applyFont="0" applyFill="0" applyBorder="0" applyAlignment="0" applyProtection="0">
      <alignment horizontal="left"/>
    </xf>
    <xf numFmtId="0" fontId="24" fillId="0" borderId="5">
      <alignment horizontal="center"/>
    </xf>
    <xf numFmtId="0" fontId="34" fillId="0" borderId="6"/>
    <xf numFmtId="0" fontId="32" fillId="0" borderId="0"/>
    <xf numFmtId="0" fontId="34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7" applyNumberFormat="0" applyAlignment="0" applyProtection="0">
      <alignment vertical="center"/>
    </xf>
    <xf numFmtId="0" fontId="9" fillId="21" borderId="7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23" borderId="8" applyNumberFormat="0" applyFont="0" applyAlignment="0" applyProtection="0">
      <alignment vertical="center"/>
    </xf>
    <xf numFmtId="0" fontId="5" fillId="23" borderId="8" applyNumberFormat="0" applyFont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4" borderId="10" applyNumberFormat="0" applyAlignment="0" applyProtection="0">
      <alignment vertical="center"/>
    </xf>
    <xf numFmtId="0" fontId="13" fillId="24" borderId="10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24" borderId="15" applyNumberFormat="0" applyAlignment="0" applyProtection="0">
      <alignment vertical="center"/>
    </xf>
    <xf numFmtId="0" fontId="19" fillId="24" borderId="1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>
      <alignment horizontal="center" vertical="center"/>
    </xf>
    <xf numFmtId="0" fontId="21" fillId="7" borderId="10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5" fillId="0" borderId="0"/>
    <xf numFmtId="0" fontId="36" fillId="0" borderId="0"/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24" borderId="15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178" fontId="24" fillId="0" borderId="25" applyAlignment="0" applyProtection="0"/>
    <xf numFmtId="0" fontId="31" fillId="0" borderId="26">
      <alignment horizontal="left" vertical="center"/>
    </xf>
    <xf numFmtId="10" fontId="29" fillId="16" borderId="20" applyNumberFormat="0" applyBorder="0" applyAlignment="0" applyProtection="0"/>
    <xf numFmtId="0" fontId="6" fillId="23" borderId="27" applyNumberFormat="0" applyFont="0" applyAlignment="0" applyProtection="0">
      <alignment vertical="center"/>
    </xf>
    <xf numFmtId="0" fontId="5" fillId="23" borderId="27" applyNumberFormat="0" applyFont="0" applyAlignment="0" applyProtection="0">
      <alignment vertical="center"/>
    </xf>
    <xf numFmtId="0" fontId="13" fillId="24" borderId="28" applyNumberFormat="0" applyAlignment="0" applyProtection="0">
      <alignment vertical="center"/>
    </xf>
    <xf numFmtId="0" fontId="13" fillId="24" borderId="28" applyNumberFormat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24" borderId="30" applyNumberFormat="0" applyAlignment="0" applyProtection="0">
      <alignment vertical="center"/>
    </xf>
    <xf numFmtId="0" fontId="19" fillId="24" borderId="30" applyNumberFormat="0" applyAlignment="0" applyProtection="0">
      <alignment vertical="center"/>
    </xf>
    <xf numFmtId="0" fontId="21" fillId="7" borderId="28" applyNumberFormat="0" applyAlignment="0" applyProtection="0">
      <alignment vertical="center"/>
    </xf>
    <xf numFmtId="0" fontId="21" fillId="7" borderId="28" applyNumberFormat="0" applyAlignment="0" applyProtection="0">
      <alignment vertical="center"/>
    </xf>
    <xf numFmtId="0" fontId="21" fillId="7" borderId="28" applyNumberFormat="0" applyAlignment="0" applyProtection="0">
      <alignment vertical="center"/>
    </xf>
    <xf numFmtId="0" fontId="19" fillId="24" borderId="30" applyNumberFormat="0" applyAlignment="0" applyProtection="0">
      <alignment vertical="center"/>
    </xf>
    <xf numFmtId="0" fontId="43" fillId="0" borderId="0">
      <alignment vertical="center"/>
    </xf>
  </cellStyleXfs>
  <cellXfs count="42">
    <xf numFmtId="0" fontId="0" fillId="0" borderId="0" xfId="0">
      <alignment vertical="center"/>
    </xf>
    <xf numFmtId="0" fontId="37" fillId="0" borderId="0" xfId="0" applyFont="1">
      <alignment vertical="center"/>
    </xf>
    <xf numFmtId="0" fontId="37" fillId="0" borderId="0" xfId="0" applyFont="1" applyAlignment="1">
      <alignment vertical="center" wrapText="1"/>
    </xf>
    <xf numFmtId="0" fontId="39" fillId="0" borderId="0" xfId="0" applyFont="1">
      <alignment vertical="center"/>
    </xf>
    <xf numFmtId="0" fontId="39" fillId="0" borderId="1" xfId="0" applyFont="1" applyBorder="1">
      <alignment vertical="center"/>
    </xf>
    <xf numFmtId="0" fontId="39" fillId="0" borderId="1" xfId="0" applyFont="1" applyBorder="1" applyAlignment="1">
      <alignment vertical="center" shrinkToFit="1"/>
    </xf>
    <xf numFmtId="0" fontId="39" fillId="0" borderId="1" xfId="0" applyFont="1" applyBorder="1" applyAlignment="1">
      <alignment vertical="center" wrapText="1" shrinkToFit="1"/>
    </xf>
    <xf numFmtId="0" fontId="39" fillId="0" borderId="1" xfId="0" applyFont="1" applyBorder="1" applyAlignment="1">
      <alignment vertical="center" wrapText="1"/>
    </xf>
    <xf numFmtId="0" fontId="37" fillId="0" borderId="0" xfId="124" applyFont="1">
      <alignment vertical="center"/>
    </xf>
    <xf numFmtId="0" fontId="37" fillId="0" borderId="0" xfId="124" applyFont="1" applyAlignment="1">
      <alignment vertical="top"/>
    </xf>
    <xf numFmtId="0" fontId="37" fillId="0" borderId="19" xfId="124" applyFont="1" applyBorder="1" applyAlignment="1">
      <alignment horizontal="left" vertical="center"/>
    </xf>
    <xf numFmtId="0" fontId="41" fillId="0" borderId="1" xfId="125" applyFont="1" applyBorder="1" applyAlignment="1">
      <alignment vertical="center" wrapText="1"/>
    </xf>
    <xf numFmtId="0" fontId="41" fillId="0" borderId="1" xfId="125" applyFont="1" applyBorder="1">
      <alignment vertical="center"/>
    </xf>
    <xf numFmtId="0" fontId="39" fillId="0" borderId="1" xfId="0" applyFont="1" applyBorder="1" applyAlignment="1">
      <alignment horizontal="center" vertical="center"/>
    </xf>
    <xf numFmtId="0" fontId="41" fillId="0" borderId="1" xfId="125" applyFont="1" applyFill="1" applyBorder="1" applyAlignment="1">
      <alignment vertical="center" wrapText="1"/>
    </xf>
    <xf numFmtId="0" fontId="39" fillId="25" borderId="21" xfId="0" applyFont="1" applyFill="1" applyBorder="1">
      <alignment vertical="center"/>
    </xf>
    <xf numFmtId="0" fontId="39" fillId="25" borderId="23" xfId="0" applyFont="1" applyFill="1" applyBorder="1" applyAlignment="1">
      <alignment vertical="center" wrapText="1"/>
    </xf>
    <xf numFmtId="0" fontId="39" fillId="25" borderId="24" xfId="0" applyFont="1" applyFill="1" applyBorder="1" applyAlignment="1">
      <alignment vertical="center" wrapText="1"/>
    </xf>
    <xf numFmtId="0" fontId="39" fillId="25" borderId="21" xfId="0" applyFont="1" applyFill="1" applyBorder="1" applyAlignment="1">
      <alignment vertical="center" wrapText="1"/>
    </xf>
    <xf numFmtId="0" fontId="39" fillId="25" borderId="22" xfId="0" applyFont="1" applyFill="1" applyBorder="1">
      <alignment vertical="center"/>
    </xf>
    <xf numFmtId="0" fontId="39" fillId="25" borderId="1" xfId="0" applyFont="1" applyFill="1" applyBorder="1" applyAlignment="1">
      <alignment vertical="center" wrapText="1"/>
    </xf>
    <xf numFmtId="0" fontId="39" fillId="25" borderId="22" xfId="0" applyFont="1" applyFill="1" applyBorder="1" applyAlignment="1">
      <alignment vertical="center" wrapText="1"/>
    </xf>
    <xf numFmtId="0" fontId="39" fillId="0" borderId="1" xfId="125" applyFont="1" applyBorder="1" applyAlignment="1">
      <alignment vertical="center" wrapText="1"/>
    </xf>
    <xf numFmtId="0" fontId="39" fillId="0" borderId="1" xfId="125" applyFont="1" applyBorder="1">
      <alignment vertical="center"/>
    </xf>
    <xf numFmtId="0" fontId="39" fillId="0" borderId="1" xfId="125" applyFont="1" applyFill="1" applyBorder="1" applyAlignment="1">
      <alignment vertical="center" wrapText="1"/>
    </xf>
    <xf numFmtId="0" fontId="39" fillId="26" borderId="16" xfId="124" applyFont="1" applyFill="1" applyBorder="1" applyAlignment="1">
      <alignment horizontal="center" vertical="center"/>
    </xf>
    <xf numFmtId="0" fontId="39" fillId="25" borderId="21" xfId="0" applyFont="1" applyFill="1" applyBorder="1" applyAlignment="1">
      <alignment horizontal="center" vertical="center"/>
    </xf>
    <xf numFmtId="0" fontId="39" fillId="0" borderId="20" xfId="0" applyFont="1" applyBorder="1" applyAlignment="1">
      <alignment vertical="center" wrapText="1" shrinkToFit="1"/>
    </xf>
    <xf numFmtId="0" fontId="39" fillId="0" borderId="20" xfId="0" applyFont="1" applyBorder="1" applyAlignment="1">
      <alignment vertical="center" shrinkToFit="1"/>
    </xf>
    <xf numFmtId="49" fontId="39" fillId="0" borderId="1" xfId="0" applyNumberFormat="1" applyFont="1" applyBorder="1" applyAlignment="1">
      <alignment vertical="center" wrapText="1" shrinkToFit="1"/>
    </xf>
    <xf numFmtId="49" fontId="39" fillId="0" borderId="31" xfId="0" applyNumberFormat="1" applyFont="1" applyBorder="1" applyAlignment="1">
      <alignment vertical="center" wrapText="1" shrinkToFit="1"/>
    </xf>
    <xf numFmtId="0" fontId="37" fillId="0" borderId="32" xfId="0" applyFont="1" applyBorder="1" applyAlignment="1">
      <alignment horizontal="left" vertical="top"/>
    </xf>
    <xf numFmtId="0" fontId="41" fillId="0" borderId="17" xfId="125" applyFont="1" applyBorder="1" applyAlignment="1">
      <alignment horizontal="center" vertical="center"/>
    </xf>
    <xf numFmtId="0" fontId="39" fillId="25" borderId="20" xfId="124" applyFont="1" applyFill="1" applyBorder="1" applyAlignment="1">
      <alignment horizontal="left" vertical="center"/>
    </xf>
    <xf numFmtId="0" fontId="39" fillId="25" borderId="18" xfId="124" applyFont="1" applyFill="1" applyBorder="1" applyAlignment="1">
      <alignment horizontal="left" vertical="center"/>
    </xf>
    <xf numFmtId="49" fontId="39" fillId="0" borderId="1" xfId="0" applyNumberFormat="1" applyFont="1" applyBorder="1" applyAlignment="1">
      <alignment vertical="center" shrinkToFit="1"/>
    </xf>
    <xf numFmtId="0" fontId="39" fillId="0" borderId="1" xfId="125" applyFont="1" applyFill="1" applyBorder="1">
      <alignment vertical="center"/>
    </xf>
    <xf numFmtId="0" fontId="41" fillId="0" borderId="1" xfId="125" applyFont="1" applyFill="1" applyBorder="1">
      <alignment vertical="center"/>
    </xf>
    <xf numFmtId="0" fontId="39" fillId="0" borderId="1" xfId="0" applyFont="1" applyFill="1" applyBorder="1" applyAlignment="1">
      <alignment vertical="center" wrapText="1"/>
    </xf>
    <xf numFmtId="0" fontId="39" fillId="0" borderId="1" xfId="0" applyFont="1" applyFill="1" applyBorder="1">
      <alignment vertical="center"/>
    </xf>
    <xf numFmtId="0" fontId="39" fillId="0" borderId="1" xfId="0" applyFont="1" applyFill="1" applyBorder="1" applyAlignment="1">
      <alignment vertical="center" shrinkToFit="1"/>
    </xf>
    <xf numFmtId="49" fontId="39" fillId="0" borderId="1" xfId="0" applyNumberFormat="1" applyFont="1" applyFill="1" applyBorder="1" applyAlignment="1">
      <alignment vertical="center" wrapText="1" shrinkToFit="1"/>
    </xf>
  </cellXfs>
  <cellStyles count="143">
    <cellStyle name="20% - アクセント 1 2" xfId="2" xr:uid="{172D7FA5-EA8D-47F1-95D6-5C090D2C761C}"/>
    <cellStyle name="20% - アクセント 1 3" xfId="3" xr:uid="{6B2EBAFD-6043-4570-BA04-E40E9239666C}"/>
    <cellStyle name="20% - アクセント 2 2" xfId="4" xr:uid="{8CD4A5FA-F01A-4E90-9232-4D5BC91F9699}"/>
    <cellStyle name="20% - アクセント 2 3" xfId="5" xr:uid="{97658F68-40F1-4BFC-A741-4D13E4BDC4A4}"/>
    <cellStyle name="20% - アクセント 3 2" xfId="6" xr:uid="{FD02ADEB-3847-410E-8D84-D489C8F67E4F}"/>
    <cellStyle name="20% - アクセント 3 3" xfId="7" xr:uid="{99777133-17C2-4DF4-BFAF-CF9EBDABC9E9}"/>
    <cellStyle name="20% - アクセント 4 2" xfId="8" xr:uid="{42EF8861-6DB9-47D1-BEA4-B0AEDA62A9C5}"/>
    <cellStyle name="20% - アクセント 4 3" xfId="9" xr:uid="{F0D1F13D-A777-41B2-8C6A-603FD861856F}"/>
    <cellStyle name="20% - アクセント 5 2" xfId="10" xr:uid="{2A985324-9975-427C-B08C-40C82A267D69}"/>
    <cellStyle name="20% - アクセント 5 3" xfId="11" xr:uid="{C6C50D98-B642-4603-84A7-D68D4A6CBE18}"/>
    <cellStyle name="20% - アクセント 6 2" xfId="12" xr:uid="{940FBABC-DD3D-464E-8C45-1BEFA747E7AF}"/>
    <cellStyle name="20% - アクセント 6 3" xfId="13" xr:uid="{BA62AC74-CB11-4E49-9C34-44A57B571A50}"/>
    <cellStyle name="40% - アクセント 1 2" xfId="14" xr:uid="{D0F4CBCB-1A95-439E-9720-5B8C1A32BED3}"/>
    <cellStyle name="40% - アクセント 1 3" xfId="15" xr:uid="{F90C2D2A-D019-4A79-9BC1-7D4245D15AAA}"/>
    <cellStyle name="40% - アクセント 2 2" xfId="16" xr:uid="{76745D56-05C8-4A08-A811-28254B85E378}"/>
    <cellStyle name="40% - アクセント 2 3" xfId="17" xr:uid="{E6C248B8-CA9E-413D-AB4F-D1E35BE1E1E3}"/>
    <cellStyle name="40% - アクセント 3 2" xfId="18" xr:uid="{C5098F58-34D3-476A-AE41-408B5F5CE473}"/>
    <cellStyle name="40% - アクセント 3 3" xfId="19" xr:uid="{96AB6D0B-FB48-4AC0-AF4B-0D35D35CAAF3}"/>
    <cellStyle name="40% - アクセント 4 2" xfId="20" xr:uid="{7F0FA3DD-CE47-4369-AE8A-3A518CDA2209}"/>
    <cellStyle name="40% - アクセント 4 3" xfId="21" xr:uid="{85C6BC16-7B79-4640-9698-079CE6953415}"/>
    <cellStyle name="40% - アクセント 5 2" xfId="22" xr:uid="{2F97B48A-6AB6-42A4-8757-02589933B950}"/>
    <cellStyle name="40% - アクセント 5 3" xfId="23" xr:uid="{574E266E-F0FB-44C6-B367-476F8A91E07D}"/>
    <cellStyle name="40% - アクセント 6 2" xfId="24" xr:uid="{A66CFB1C-A5E0-4889-9CE2-59FFE1984391}"/>
    <cellStyle name="40% - アクセント 6 3" xfId="25" xr:uid="{78ACBC71-E72C-403C-9547-7C32B9158E2A}"/>
    <cellStyle name="60% - アクセント 1 2" xfId="26" xr:uid="{F64632D3-E3C3-4EE3-B680-1241D94E33AE}"/>
    <cellStyle name="60% - アクセント 1 3" xfId="27" xr:uid="{DE2280A5-D728-4EE4-979E-EEB3BA40AA40}"/>
    <cellStyle name="60% - アクセント 2 2" xfId="28" xr:uid="{4687160F-7477-4686-9259-49D06BBD486E}"/>
    <cellStyle name="60% - アクセント 2 3" xfId="29" xr:uid="{BD0DF088-185E-4CCE-B78B-E3000C07989D}"/>
    <cellStyle name="60% - アクセント 3 2" xfId="30" xr:uid="{1957F404-A440-4AB2-8DB4-9E187719DF36}"/>
    <cellStyle name="60% - アクセント 3 3" xfId="31" xr:uid="{565349F2-5C98-43BE-B69E-CB005D1BD995}"/>
    <cellStyle name="60% - アクセント 4 2" xfId="32" xr:uid="{D3495964-17B4-422E-9681-2CE1C6FE35DA}"/>
    <cellStyle name="60% - アクセント 4 3" xfId="33" xr:uid="{5428A8F3-1E67-4AD6-A150-3F72757B6D26}"/>
    <cellStyle name="60% - アクセント 5 2" xfId="34" xr:uid="{1C47876A-2D1E-4DB0-9F25-88EEC991B648}"/>
    <cellStyle name="60% - アクセント 5 3" xfId="35" xr:uid="{211D2E25-BE70-404B-9B19-862D67BED8CF}"/>
    <cellStyle name="60% - アクセント 6 2" xfId="36" xr:uid="{B1D32A7C-856F-48A6-89CD-AC147718ECA9}"/>
    <cellStyle name="60% - アクセント 6 3" xfId="37" xr:uid="{00FB4C2A-6CFC-4831-B4E5-321828F95219}"/>
    <cellStyle name="BD標準" xfId="38" xr:uid="{65B319DE-B632-4EA0-8D8F-F8D608B496A2}"/>
    <cellStyle name="Border" xfId="39" xr:uid="{5D17170A-F597-49C3-ADB3-624A910ADD05}"/>
    <cellStyle name="Border 2" xfId="127" xr:uid="{FB52146C-7BDF-4560-A156-69589D754E59}"/>
    <cellStyle name="Calc Currency (0)" xfId="40" xr:uid="{D3DA19FE-9FE4-4851-BF59-4925FD853BEE}"/>
    <cellStyle name="category" xfId="41" xr:uid="{5B176843-2F7F-4A1E-8564-57D152AAB22E}"/>
    <cellStyle name="Comma [0]_CCOCPX" xfId="42" xr:uid="{D03370BD-8368-4019-B106-731974AA9A6B}"/>
    <cellStyle name="Comma_Capex" xfId="43" xr:uid="{D49416F6-0729-487B-9836-491852241A0D}"/>
    <cellStyle name="Currency [0]_CCOCPX" xfId="44" xr:uid="{56DC0A47-45EC-4C83-B361-29128F0F4BB3}"/>
    <cellStyle name="Currency_CCOCPX" xfId="45" xr:uid="{0A2F6A63-5849-4E62-BDAB-2EF17796632B}"/>
    <cellStyle name="Grey" xfId="46" xr:uid="{7B5F34E4-E873-409D-BB9C-757DFB4921CF}"/>
    <cellStyle name="HEADER" xfId="47" xr:uid="{C260463A-7A65-42C4-B83F-603A96F99F92}"/>
    <cellStyle name="Header1" xfId="48" xr:uid="{EF4228EF-BBAE-4935-987A-D4A5021BF21B}"/>
    <cellStyle name="Header2" xfId="49" xr:uid="{77C49C1F-7806-415F-B5DA-294BFAE5E8E1}"/>
    <cellStyle name="Header2 2" xfId="128" xr:uid="{F5F62FEE-9C13-4EAE-AE9E-FA28D0B5EEB6}"/>
    <cellStyle name="Input [yellow]" xfId="50" xr:uid="{DC0CCE3E-08AF-48EB-A2F1-C4FD2048959E}"/>
    <cellStyle name="Input [yellow] 2" xfId="129" xr:uid="{9423A86A-BF07-438B-9850-0CF5ECC97A7F}"/>
    <cellStyle name="Model" xfId="51" xr:uid="{D3E89461-652C-4755-A703-652843BCD574}"/>
    <cellStyle name="Normal - Style1" xfId="52" xr:uid="{FE900F8E-FA24-4C74-963D-D2A86717D4A0}"/>
    <cellStyle name="Normal - Style1 2" xfId="53" xr:uid="{81723C8C-5B32-4B40-B18D-21779BE33E9E}"/>
    <cellStyle name="Normal - Style1_001_【画面レイアウト】受発注・受注登録画面（ユーザ提示用）" xfId="54" xr:uid="{4D8F6231-5743-400A-913C-35BA8EF089A1}"/>
    <cellStyle name="Normal_#18-Internet" xfId="55" xr:uid="{92444DBE-F676-4E2D-91B1-02664714ACBF}"/>
    <cellStyle name="Percent [2]" xfId="56" xr:uid="{FB0D4D0E-92A7-44CA-B7B8-3CC574653FAC}"/>
    <cellStyle name="PSChar" xfId="57" xr:uid="{4DBFC355-C4D1-4632-B385-FC854A3CACC9}"/>
    <cellStyle name="PSHeading" xfId="58" xr:uid="{9AEA5FD5-7082-496A-AB3F-7B170A8F93CF}"/>
    <cellStyle name="quest" xfId="59" xr:uid="{6285C037-E897-400E-A6C0-6E0966AE20B6}"/>
    <cellStyle name="subhead" xfId="60" xr:uid="{3F188DE9-60A9-42A4-9E29-E896624D396D}"/>
    <cellStyle name="umeda" xfId="61" xr:uid="{E5C93D9E-396D-4669-B61B-C0603464D86D}"/>
    <cellStyle name="アクセント 1 2" xfId="62" xr:uid="{222B1D88-B41F-4255-A4AB-5F4A299D9BC5}"/>
    <cellStyle name="アクセント 1 3" xfId="63" xr:uid="{A708FC26-D585-458F-A93D-72EB42160723}"/>
    <cellStyle name="アクセント 2 2" xfId="64" xr:uid="{00DD6473-EB09-419E-99F3-024671525A69}"/>
    <cellStyle name="アクセント 2 3" xfId="65" xr:uid="{7C835F5F-526D-4241-9389-067329AA394F}"/>
    <cellStyle name="アクセント 3 2" xfId="66" xr:uid="{4F1D1D1F-FD51-47B0-94D3-3C9F78BF597E}"/>
    <cellStyle name="アクセント 3 3" xfId="67" xr:uid="{617B89BE-0C19-4B65-B142-48A19346FDE9}"/>
    <cellStyle name="アクセント 4 2" xfId="68" xr:uid="{0CA22A72-903E-495F-878D-0F3ECE0EB7EC}"/>
    <cellStyle name="アクセント 4 3" xfId="69" xr:uid="{EE7628A5-A3AA-468D-9A65-308C02C1A5D4}"/>
    <cellStyle name="アクセント 5 2" xfId="70" xr:uid="{1C1D5EE7-A5CC-4833-B06C-D7FEF14BE315}"/>
    <cellStyle name="アクセント 5 3" xfId="71" xr:uid="{95A3E485-6FD4-4773-9E16-1C51E2D34E61}"/>
    <cellStyle name="アクセント 6 2" xfId="72" xr:uid="{A20DC41C-6D80-4B9D-B17E-7A7B766F22DB}"/>
    <cellStyle name="アクセント 6 3" xfId="73" xr:uid="{5C577399-4FA6-405E-A704-8D2666117F24}"/>
    <cellStyle name="タイトル 2" xfId="74" xr:uid="{D716B6A4-9BF3-4FAF-886C-797301D82215}"/>
    <cellStyle name="タイトル 3" xfId="75" xr:uid="{E0C04B8F-509A-48CF-AE15-03E68DF3C5AC}"/>
    <cellStyle name="チェック セル 2" xfId="76" xr:uid="{0200A85C-6004-4FA8-89A4-BAF0CB6B614C}"/>
    <cellStyle name="チェック セル 3" xfId="77" xr:uid="{2E2B27F7-E4E4-4A43-942E-C7B0D4D58CDE}"/>
    <cellStyle name="どちらでもない 2" xfId="78" xr:uid="{8E5EF74A-7C6D-4433-A03A-E04A54869609}"/>
    <cellStyle name="どちらでもない 3" xfId="79" xr:uid="{6FB16562-5CD2-43AE-9B4C-1B66DBCA61C1}"/>
    <cellStyle name="ハイパーリンク" xfId="125" builtinId="8"/>
    <cellStyle name="メモ 2" xfId="80" xr:uid="{E44B4348-243C-4DF6-9B50-91246E3F12D1}"/>
    <cellStyle name="メモ 2 2" xfId="130" xr:uid="{4E97C3D2-E027-4895-95CC-886445BC5238}"/>
    <cellStyle name="メモ 3" xfId="81" xr:uid="{31D285ED-C191-498E-9DDC-620F484A758C}"/>
    <cellStyle name="メモ 3 2" xfId="131" xr:uid="{6C630912-D7A2-41E1-A9D5-3E6B4850A9A9}"/>
    <cellStyle name="リンク セル 2" xfId="82" xr:uid="{D6D501BF-76CB-4781-81A7-5544A79C7E06}"/>
    <cellStyle name="リンク セル 3" xfId="83" xr:uid="{54D56E03-AD90-436D-BC54-84FD7A227CE2}"/>
    <cellStyle name="悪い 2" xfId="84" xr:uid="{805CBF7D-0D45-4302-A283-0A5324CB0536}"/>
    <cellStyle name="悪い 3" xfId="85" xr:uid="{7EEE0BB5-899D-4B49-ADA2-3D9FB630BFE0}"/>
    <cellStyle name="計算 2" xfId="86" xr:uid="{3962AA0C-773F-4EBA-8F8B-22BE64166A6B}"/>
    <cellStyle name="計算 2 2" xfId="132" xr:uid="{2D24B7C2-D9ED-4540-96DF-1FCFA2D16F73}"/>
    <cellStyle name="計算 3" xfId="87" xr:uid="{1E52DD91-2299-450A-9D2D-AB49A0E393EF}"/>
    <cellStyle name="計算 3 2" xfId="133" xr:uid="{B5387859-029A-46F6-BE09-5440DEC9F3E5}"/>
    <cellStyle name="警告文 2" xfId="88" xr:uid="{672C2BFE-2E6D-4820-B486-2B1D2598BFF1}"/>
    <cellStyle name="警告文 3" xfId="89" xr:uid="{DE20CD4D-0DBE-4F77-9362-02E18D6116B6}"/>
    <cellStyle name="見出し 1 2" xfId="90" xr:uid="{190EED0D-AD60-4889-BE85-7CDA268482B0}"/>
    <cellStyle name="見出し 1 3" xfId="91" xr:uid="{3D6E7650-2D5A-42F7-99D2-312DBCE2A916}"/>
    <cellStyle name="見出し 2 2" xfId="92" xr:uid="{AB01C694-86E8-4737-B912-41D78901B5E4}"/>
    <cellStyle name="見出し 2 3" xfId="93" xr:uid="{B6E12ADC-5F01-4D64-9CAB-65D1C998B1A2}"/>
    <cellStyle name="見出し 3 2" xfId="94" xr:uid="{FC233E75-D39E-4CCC-845D-60809986CA78}"/>
    <cellStyle name="見出し 3 3" xfId="95" xr:uid="{8CF35170-D987-4E4E-AB37-0EFFAD901636}"/>
    <cellStyle name="見出し 4 2" xfId="96" xr:uid="{3C25B919-D96C-4956-9D48-979A04608C37}"/>
    <cellStyle name="見出し 4 3" xfId="97" xr:uid="{94E7A7E7-76CD-424B-9664-0639BE8E0CC3}"/>
    <cellStyle name="集計 2" xfId="98" xr:uid="{340F0923-923B-48AF-8DD8-851EC305143E}"/>
    <cellStyle name="集計 2 2" xfId="134" xr:uid="{50327161-1BFE-4329-B4C8-5F7217C05ED0}"/>
    <cellStyle name="集計 3" xfId="99" xr:uid="{9F4083DD-55BA-43D8-ADFA-D3D0584F5D03}"/>
    <cellStyle name="集計 3 2" xfId="135" xr:uid="{D2933528-CA11-41CB-A3E2-8950D0EBC366}"/>
    <cellStyle name="出力 2" xfId="100" xr:uid="{BC05036B-ABC4-4277-AD20-BE1378467255}"/>
    <cellStyle name="出力 2 2" xfId="136" xr:uid="{F069F706-B317-47BA-8605-E6905F99D8D2}"/>
    <cellStyle name="出力 3" xfId="101" xr:uid="{7B99259F-3D7D-4C9C-BB00-C570D3D9E3B7}"/>
    <cellStyle name="出力 3 2" xfId="137" xr:uid="{588A821D-B39C-48EB-8F16-BC3FDAD970F2}"/>
    <cellStyle name="説明文 2" xfId="102" xr:uid="{296A9969-811B-484A-A9AC-C7726B87D6BC}"/>
    <cellStyle name="説明文 3" xfId="103" xr:uid="{A986C040-9AEC-47B2-8D0A-604FD503414E}"/>
    <cellStyle name="追加スタイル（梅田）" xfId="104" xr:uid="{BACF3D10-ABC0-4F52-B2EB-BA50D56388E4}"/>
    <cellStyle name="入力 2" xfId="105" xr:uid="{CED7E874-0AC5-45C5-9256-2714C02DB308}"/>
    <cellStyle name="入力 2 2" xfId="138" xr:uid="{F61E7B68-9FCF-4D16-AE52-C18A117C428F}"/>
    <cellStyle name="入力 3" xfId="106" xr:uid="{5EA294B0-6098-4CF2-B493-18A31E68E8A2}"/>
    <cellStyle name="入力 3 2" xfId="139" xr:uid="{7E46FD3D-38E1-430C-9D02-C57874B9FB0D}"/>
    <cellStyle name="標準" xfId="0" builtinId="0"/>
    <cellStyle name="標準 2" xfId="107" xr:uid="{3BF70808-2A94-4EEB-BEC5-AB360EABC568}"/>
    <cellStyle name="標準 24" xfId="123" xr:uid="{E3BA3F0F-76DC-4E8B-A2F3-0B1673A33F62}"/>
    <cellStyle name="標準 3" xfId="108" xr:uid="{362976D2-AC7E-4E64-A152-619B0E09481B}"/>
    <cellStyle name="標準 32 7 3" xfId="126" xr:uid="{DABB1DBD-8C62-4205-AC2A-809ED71D3417}"/>
    <cellStyle name="標準 34 2 5 3" xfId="124" xr:uid="{91D01171-A781-459C-B09D-AC7E4A242AFA}"/>
    <cellStyle name="標準 4" xfId="1" xr:uid="{9DB1A57D-7997-4538-94EF-C579FED24C2C}"/>
    <cellStyle name="標準 5" xfId="142" xr:uid="{F02EBA56-AB06-4D42-8C0B-8A7AA20900D5}"/>
    <cellStyle name="標準仕様書" xfId="109" xr:uid="{0E31600B-BF33-4FF4-9D71-20936870A673}"/>
    <cellStyle name="未定義" xfId="110" xr:uid="{F782B4BB-374A-483F-9A24-C9AA4AF01CE2}"/>
    <cellStyle name="良い 2" xfId="111" xr:uid="{6E06EFB5-DD66-481F-8D12-8DE7DA0953D0}"/>
    <cellStyle name="良い 3" xfId="112" xr:uid="{9E0371C0-5DDF-40FF-8B91-7E0CC76C75F7}"/>
    <cellStyle name="㼿" xfId="113" xr:uid="{6C9AA4B7-EE7A-4616-97C5-D74280B7BFA4}"/>
    <cellStyle name="㼿 2" xfId="140" xr:uid="{0847E6AD-98E2-45F1-A1EC-031678D1C2E7}"/>
    <cellStyle name="㼿?" xfId="114" xr:uid="{BFE01D64-6854-4B4D-B1EE-79E542761FBE}"/>
    <cellStyle name="㼿㼿" xfId="115" xr:uid="{1428620D-D3E2-4FB1-A258-11CC7D376332}"/>
    <cellStyle name="㼿㼿 2" xfId="141" xr:uid="{692D8030-C0F7-48C6-BAFB-EE9A6E52B24C}"/>
    <cellStyle name="㼿㼿?" xfId="116" xr:uid="{FD62C905-511B-42ED-8C75-BBD58402ACE9}"/>
    <cellStyle name="㼿㼿㼿" xfId="117" xr:uid="{F242CC31-AE54-4F82-837C-C18712381452}"/>
    <cellStyle name="㼿㼿㼿?" xfId="118" xr:uid="{6B28B4B4-A71A-40F2-B45B-CC4AD03BE95B}"/>
    <cellStyle name="㼿㼿㼿㼿" xfId="119" xr:uid="{CC88C8B9-F10A-4617-B4AD-B50BF51117DD}"/>
    <cellStyle name="㼿㼿㼿㼿?" xfId="120" xr:uid="{CC263A5B-58A3-4C4B-9A72-FA02425453FB}"/>
    <cellStyle name="㼿㼿㼿㼿㼿㼿?" xfId="121" xr:uid="{6F9F7446-54E7-406C-A326-D0EB92A815CA}"/>
    <cellStyle name="㼿㼿㼿㼿㼿㼿㼿?" xfId="122" xr:uid="{3BA2DA27-02AB-4103-9C99-D6F2BBE5B1D0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26CB-9F7F-4A72-8F8C-F3292EECE25B}">
  <dimension ref="A1:H15"/>
  <sheetViews>
    <sheetView showGridLines="0" tabSelected="1" zoomScaleNormal="100" workbookViewId="0">
      <pane ySplit="5" topLeftCell="A6" activePane="bottomLeft" state="frozen"/>
      <selection activeCell="C4" sqref="C4"/>
      <selection pane="bottomLeft"/>
    </sheetView>
  </sheetViews>
  <sheetFormatPr defaultColWidth="9" defaultRowHeight="15.75" x14ac:dyDescent="0.4"/>
  <cols>
    <col min="1" max="1" width="4.25" style="1" customWidth="1"/>
    <col min="2" max="2" width="5.625" style="1" customWidth="1"/>
    <col min="3" max="3" width="11.875" style="1" bestFit="1" customWidth="1"/>
    <col min="4" max="4" width="23.125" style="2" bestFit="1" customWidth="1"/>
    <col min="5" max="5" width="22.125" style="2" bestFit="1" customWidth="1"/>
    <col min="6" max="6" width="17.375" style="2" bestFit="1" customWidth="1"/>
    <col min="7" max="7" width="94.375" style="1" bestFit="1" customWidth="1"/>
    <col min="8" max="8" width="29.5" style="2" bestFit="1" customWidth="1"/>
    <col min="9" max="16384" width="9" style="1"/>
  </cols>
  <sheetData>
    <row r="1" spans="1:8" x14ac:dyDescent="0.4">
      <c r="A1" s="1" t="s">
        <v>15</v>
      </c>
    </row>
    <row r="3" spans="1:8" x14ac:dyDescent="0.4">
      <c r="B3" s="1" t="s">
        <v>16</v>
      </c>
    </row>
    <row r="4" spans="1:8" x14ac:dyDescent="0.4">
      <c r="B4" s="26" t="s">
        <v>3</v>
      </c>
      <c r="C4" s="15" t="s">
        <v>12</v>
      </c>
      <c r="D4" s="16" t="s">
        <v>19</v>
      </c>
      <c r="E4" s="17"/>
      <c r="F4" s="18" t="s">
        <v>8</v>
      </c>
      <c r="G4" s="15" t="s">
        <v>0</v>
      </c>
      <c r="H4" s="18" t="s">
        <v>1</v>
      </c>
    </row>
    <row r="5" spans="1:8" x14ac:dyDescent="0.4">
      <c r="B5" s="19"/>
      <c r="C5" s="19"/>
      <c r="D5" s="20" t="s">
        <v>18</v>
      </c>
      <c r="E5" s="20" t="s">
        <v>20</v>
      </c>
      <c r="F5" s="21"/>
      <c r="G5" s="19"/>
      <c r="H5" s="21"/>
    </row>
    <row r="6" spans="1:8" s="3" customFormat="1" x14ac:dyDescent="0.4">
      <c r="B6" s="13" t="s">
        <v>135</v>
      </c>
      <c r="C6" s="13" t="s">
        <v>2</v>
      </c>
      <c r="D6" s="22" t="s">
        <v>73</v>
      </c>
      <c r="E6" s="11" t="s">
        <v>79</v>
      </c>
      <c r="F6" s="7" t="s">
        <v>24</v>
      </c>
      <c r="G6" s="4" t="s">
        <v>80</v>
      </c>
      <c r="H6" s="7"/>
    </row>
    <row r="7" spans="1:8" s="3" customFormat="1" x14ac:dyDescent="0.4">
      <c r="B7" s="13" t="s">
        <v>136</v>
      </c>
      <c r="C7" s="13" t="s">
        <v>10</v>
      </c>
      <c r="D7" s="23" t="s">
        <v>21</v>
      </c>
      <c r="E7" s="12" t="s">
        <v>17</v>
      </c>
      <c r="F7" s="7" t="s">
        <v>24</v>
      </c>
      <c r="G7" s="4" t="s">
        <v>94</v>
      </c>
      <c r="H7" s="4"/>
    </row>
    <row r="8" spans="1:8" s="3" customFormat="1" x14ac:dyDescent="0.4">
      <c r="B8" s="13" t="s">
        <v>137</v>
      </c>
      <c r="C8" s="13" t="s">
        <v>2</v>
      </c>
      <c r="D8" s="23" t="s">
        <v>96</v>
      </c>
      <c r="E8" s="12" t="s">
        <v>97</v>
      </c>
      <c r="F8" s="7" t="s">
        <v>24</v>
      </c>
      <c r="G8" s="4" t="s">
        <v>129</v>
      </c>
      <c r="H8" s="4"/>
    </row>
    <row r="9" spans="1:8" x14ac:dyDescent="0.4">
      <c r="B9" s="13" t="s">
        <v>138</v>
      </c>
      <c r="C9" s="13" t="s">
        <v>2</v>
      </c>
      <c r="D9" s="36" t="s">
        <v>146</v>
      </c>
      <c r="E9" s="37" t="s">
        <v>147</v>
      </c>
      <c r="F9" s="38" t="s">
        <v>162</v>
      </c>
      <c r="G9" s="39" t="s">
        <v>164</v>
      </c>
      <c r="H9" s="5" t="s">
        <v>165</v>
      </c>
    </row>
    <row r="10" spans="1:8" x14ac:dyDescent="0.4">
      <c r="B10" s="13" t="s">
        <v>134</v>
      </c>
      <c r="C10" s="13" t="s">
        <v>11</v>
      </c>
      <c r="D10" s="24" t="s">
        <v>93</v>
      </c>
      <c r="E10" s="14" t="s">
        <v>93</v>
      </c>
      <c r="F10" s="38" t="s">
        <v>24</v>
      </c>
      <c r="G10" s="40" t="s">
        <v>91</v>
      </c>
      <c r="H10" s="5"/>
    </row>
    <row r="11" spans="1:8" x14ac:dyDescent="0.4">
      <c r="B11" s="13" t="s">
        <v>139</v>
      </c>
      <c r="C11" s="13" t="s">
        <v>11</v>
      </c>
      <c r="D11" s="24" t="s">
        <v>95</v>
      </c>
      <c r="E11" s="14" t="s">
        <v>95</v>
      </c>
      <c r="F11" s="38" t="s">
        <v>24</v>
      </c>
      <c r="G11" s="40" t="s">
        <v>92</v>
      </c>
      <c r="H11" s="5"/>
    </row>
    <row r="12" spans="1:8" x14ac:dyDescent="0.4">
      <c r="B12" s="13" t="s">
        <v>140</v>
      </c>
      <c r="C12" s="13" t="s">
        <v>11</v>
      </c>
      <c r="D12" s="24" t="s">
        <v>104</v>
      </c>
      <c r="E12" s="14" t="s">
        <v>104</v>
      </c>
      <c r="F12" s="38" t="s">
        <v>24</v>
      </c>
      <c r="G12" s="39" t="s">
        <v>166</v>
      </c>
      <c r="H12" s="5"/>
    </row>
    <row r="14" spans="1:8" x14ac:dyDescent="0.4">
      <c r="A14" s="1" t="s">
        <v>87</v>
      </c>
    </row>
    <row r="15" spans="1:8" x14ac:dyDescent="0.4">
      <c r="B15" s="1" t="s">
        <v>88</v>
      </c>
    </row>
  </sheetData>
  <phoneticPr fontId="1"/>
  <hyperlinks>
    <hyperlink ref="E6" location="ライン一覧マスタ!A1" display="ライン一覧マスタ" xr:uid="{2EC657A1-58EE-4F9B-A589-6D8D4D95D1D3}"/>
    <hyperlink ref="E7" location="停止要因マスタ!A1" display="停止要因マスタ" xr:uid="{1837AF5C-0727-444F-B21E-A297021A9884}"/>
    <hyperlink ref="E10" location="Stop_log!A1" display="Stop_log" xr:uid="{62017A17-1A45-4CDC-B4CB-1819AE6BC658}"/>
    <hyperlink ref="E11" location="Plod_log!A1" display="Plod_log" xr:uid="{B9EE8292-23C9-4C0B-ADA1-94AD061F902A}"/>
    <hyperlink ref="E8" location="手配先マスタ!A1" display="手配先マスタ" xr:uid="{3AB04CC9-31E3-427D-AF4E-53CD6B89F188}"/>
    <hyperlink ref="E12" location="数値検査_LOG!A1" display="数値検査_LOG" xr:uid="{64A23334-71D0-4D3B-B1B1-B8F2DC488DFC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2ECB-2DEE-4968-8975-8481A31C0C46}">
  <dimension ref="A1:K12"/>
  <sheetViews>
    <sheetView showGridLines="0" zoomScaleNormal="100" workbookViewId="0">
      <pane ySplit="8" topLeftCell="A9" activePane="bottomLeft" state="frozen"/>
      <selection activeCell="C1" sqref="C1"/>
      <selection pane="bottomLeft" activeCell="C2" sqref="C2:C6"/>
    </sheetView>
  </sheetViews>
  <sheetFormatPr defaultColWidth="9" defaultRowHeight="15.75" x14ac:dyDescent="0.4"/>
  <cols>
    <col min="1" max="1" width="3.75" style="1" customWidth="1"/>
    <col min="2" max="2" width="20.625" style="1" customWidth="1"/>
    <col min="3" max="3" width="49.375" style="1" customWidth="1"/>
    <col min="4" max="4" width="22.75" style="2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32" t="s">
        <v>9</v>
      </c>
      <c r="B1" s="32"/>
      <c r="K1" s="9"/>
    </row>
    <row r="2" spans="1:11" s="8" customFormat="1" x14ac:dyDescent="0.4">
      <c r="A2" s="33" t="s">
        <v>4</v>
      </c>
      <c r="B2" s="34"/>
      <c r="C2" s="10" t="s">
        <v>135</v>
      </c>
    </row>
    <row r="3" spans="1:11" s="8" customFormat="1" x14ac:dyDescent="0.4">
      <c r="A3" s="33" t="s">
        <v>13</v>
      </c>
      <c r="B3" s="34"/>
      <c r="C3" s="10" t="str">
        <f>_xlfn.XLOOKUP($C$2,テーブル一覧!$B:$B,テーブル一覧!$C:$C)</f>
        <v>マスタ</v>
      </c>
    </row>
    <row r="4" spans="1:11" s="8" customFormat="1" x14ac:dyDescent="0.4">
      <c r="A4" s="33" t="s">
        <v>22</v>
      </c>
      <c r="B4" s="34"/>
      <c r="C4" s="10" t="str">
        <f>_xlfn.XLOOKUP($C$2,テーブル一覧!$B:$B,テーブル一覧!$D:$D)</f>
        <v>mst_ライン一覧</v>
      </c>
    </row>
    <row r="5" spans="1:11" s="8" customFormat="1" x14ac:dyDescent="0.4">
      <c r="A5" s="33" t="s">
        <v>23</v>
      </c>
      <c r="B5" s="34"/>
      <c r="C5" s="10" t="str">
        <f>_xlfn.XLOOKUP($C$2,テーブル一覧!$B:$B,テーブル一覧!$E:$E)</f>
        <v>ライン一覧マスタ</v>
      </c>
    </row>
    <row r="6" spans="1:11" s="8" customFormat="1" ht="15.75" customHeight="1" x14ac:dyDescent="0.4">
      <c r="A6" s="33" t="s">
        <v>7</v>
      </c>
      <c r="B6" s="34"/>
      <c r="C6" s="10" t="str">
        <f>_xlfn.XLOOKUP($C$2,テーブル一覧!$B:$B,テーブル一覧!$F:$F)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5</v>
      </c>
      <c r="C8" s="25" t="s">
        <v>43</v>
      </c>
      <c r="D8" s="25" t="s">
        <v>44</v>
      </c>
      <c r="E8" s="25" t="s">
        <v>6</v>
      </c>
      <c r="F8" s="1"/>
      <c r="G8" s="1"/>
      <c r="H8" s="1"/>
      <c r="I8" s="1"/>
      <c r="J8" s="1"/>
      <c r="K8" s="1"/>
    </row>
    <row r="9" spans="1:11" s="3" customFormat="1" x14ac:dyDescent="0.4">
      <c r="A9" s="4">
        <f>ROW()-8</f>
        <v>1</v>
      </c>
      <c r="B9" s="31" t="s">
        <v>130</v>
      </c>
      <c r="C9" s="5" t="s">
        <v>78</v>
      </c>
      <c r="D9" s="5" t="s">
        <v>77</v>
      </c>
      <c r="E9" s="5"/>
    </row>
    <row r="10" spans="1:11" s="3" customFormat="1" x14ac:dyDescent="0.4">
      <c r="A10" s="4">
        <f>ROW()-8</f>
        <v>2</v>
      </c>
      <c r="B10" s="31" t="s">
        <v>74</v>
      </c>
      <c r="C10" s="6" t="s">
        <v>64</v>
      </c>
      <c r="D10" s="5" t="s">
        <v>48</v>
      </c>
      <c r="E10" s="5"/>
    </row>
    <row r="11" spans="1:11" s="3" customFormat="1" x14ac:dyDescent="0.4">
      <c r="A11" s="4">
        <f>ROW()-8</f>
        <v>3</v>
      </c>
      <c r="B11" s="31" t="s">
        <v>75</v>
      </c>
      <c r="C11" s="6" t="s">
        <v>81</v>
      </c>
      <c r="D11" s="5" t="s">
        <v>76</v>
      </c>
      <c r="E11" s="5"/>
    </row>
    <row r="12" spans="1:11" s="3" customFormat="1" x14ac:dyDescent="0.4">
      <c r="A12" s="4">
        <f>ROW()-8</f>
        <v>4</v>
      </c>
      <c r="B12" s="31" t="s">
        <v>131</v>
      </c>
      <c r="C12" s="6" t="s">
        <v>133</v>
      </c>
      <c r="D12" s="5" t="s">
        <v>132</v>
      </c>
      <c r="E12" s="5"/>
    </row>
  </sheetData>
  <mergeCells count="6">
    <mergeCell ref="A1:B1"/>
    <mergeCell ref="A2:B2"/>
    <mergeCell ref="A6:B6"/>
    <mergeCell ref="A4:B4"/>
    <mergeCell ref="A3:B3"/>
    <mergeCell ref="A5:B5"/>
  </mergeCells>
  <phoneticPr fontId="1"/>
  <hyperlinks>
    <hyperlink ref="A1" location="テーブル一覧!A1" display="一覧へ" xr:uid="{61DDF59B-F1F4-479D-88C5-E0C0C4B168BF}"/>
    <hyperlink ref="A1:B1" location="テーブル一覧!A1" display="テーブル一覧" xr:uid="{8ACD8B27-94FC-4605-B58A-883F21A804E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322E-611D-4F77-B33E-7296DCAE3DFE}">
  <dimension ref="A1:K10"/>
  <sheetViews>
    <sheetView showGridLines="0" zoomScaleNormal="100" workbookViewId="0">
      <pane ySplit="8" topLeftCell="A9" activePane="bottomLeft" state="frozen"/>
      <selection activeCell="C1" sqref="C1"/>
      <selection pane="bottomLeft" activeCell="C2" sqref="C2:C6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22.75" style="2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32" t="s">
        <v>9</v>
      </c>
      <c r="B1" s="32"/>
      <c r="K1" s="9"/>
    </row>
    <row r="2" spans="1:11" s="8" customFormat="1" x14ac:dyDescent="0.4">
      <c r="A2" s="33" t="s">
        <v>4</v>
      </c>
      <c r="B2" s="34"/>
      <c r="C2" s="10" t="s">
        <v>141</v>
      </c>
    </row>
    <row r="3" spans="1:11" s="8" customFormat="1" x14ac:dyDescent="0.4">
      <c r="A3" s="33" t="s">
        <v>13</v>
      </c>
      <c r="B3" s="34"/>
      <c r="C3" s="10" t="str">
        <f>_xlfn.XLOOKUP($C$2,テーブル一覧!$B:$B,テーブル一覧!$C:$C)</f>
        <v>マスタ</v>
      </c>
    </row>
    <row r="4" spans="1:11" s="8" customFormat="1" x14ac:dyDescent="0.4">
      <c r="A4" s="33" t="s">
        <v>22</v>
      </c>
      <c r="B4" s="34"/>
      <c r="C4" s="10" t="str">
        <f>_xlfn.XLOOKUP($C$2,テーブル一覧!$B:$B,テーブル一覧!$D:$D)</f>
        <v>mst_停止要因</v>
      </c>
    </row>
    <row r="5" spans="1:11" s="8" customFormat="1" x14ac:dyDescent="0.4">
      <c r="A5" s="33" t="s">
        <v>23</v>
      </c>
      <c r="B5" s="34"/>
      <c r="C5" s="10" t="str">
        <f>_xlfn.XLOOKUP($C$2,テーブル一覧!$B:$B,テーブル一覧!$E:$E)</f>
        <v>停止要因マスタ</v>
      </c>
    </row>
    <row r="6" spans="1:11" s="8" customFormat="1" x14ac:dyDescent="0.4">
      <c r="A6" s="33" t="s">
        <v>7</v>
      </c>
      <c r="B6" s="34"/>
      <c r="C6" s="10" t="str">
        <f>_xlfn.XLOOKUP($C$2,テーブル一覧!$B:$B,テーブル一覧!$F:$F)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5</v>
      </c>
      <c r="C8" s="25" t="s">
        <v>43</v>
      </c>
      <c r="D8" s="25" t="s">
        <v>44</v>
      </c>
      <c r="E8" s="25" t="s">
        <v>6</v>
      </c>
      <c r="F8" s="1"/>
      <c r="G8" s="1"/>
      <c r="H8" s="1"/>
      <c r="I8" s="1"/>
      <c r="J8" s="1"/>
      <c r="K8" s="1"/>
    </row>
    <row r="9" spans="1:11" s="3" customFormat="1" x14ac:dyDescent="0.4">
      <c r="A9" s="4">
        <f>ROW()-8</f>
        <v>1</v>
      </c>
      <c r="B9" s="5" t="s">
        <v>83</v>
      </c>
      <c r="C9" s="5" t="s">
        <v>85</v>
      </c>
      <c r="D9" s="29">
        <v>0</v>
      </c>
      <c r="E9" s="6"/>
    </row>
    <row r="10" spans="1:11" s="3" customFormat="1" x14ac:dyDescent="0.4">
      <c r="A10" s="4">
        <f>ROW()-8</f>
        <v>2</v>
      </c>
      <c r="B10" s="5" t="s">
        <v>82</v>
      </c>
      <c r="C10" s="6" t="s">
        <v>86</v>
      </c>
      <c r="D10" s="6" t="s">
        <v>84</v>
      </c>
      <c r="E10" s="6"/>
    </row>
  </sheetData>
  <mergeCells count="6">
    <mergeCell ref="A1:B1"/>
    <mergeCell ref="A2:B2"/>
    <mergeCell ref="A6:B6"/>
    <mergeCell ref="A4:B4"/>
    <mergeCell ref="A3:B3"/>
    <mergeCell ref="A5:B5"/>
  </mergeCells>
  <phoneticPr fontId="1"/>
  <hyperlinks>
    <hyperlink ref="A1" location="テーブル一覧!A1" display="一覧へ" xr:uid="{50AD3414-AA83-40D0-BB94-D68E5ED268CC}"/>
    <hyperlink ref="A1:B1" location="テーブル一覧!A1" display="テーブル一覧" xr:uid="{B25DF916-0117-4D9E-A1CC-4ACF361F8D6C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7721-9BF2-4536-96ED-10FAC281D58D}">
  <dimension ref="A1:K10"/>
  <sheetViews>
    <sheetView showGridLines="0" zoomScaleNormal="100" workbookViewId="0">
      <pane ySplit="8" topLeftCell="A9" activePane="bottomLeft" state="frozen"/>
      <selection activeCell="C1" sqref="C1"/>
      <selection pane="bottomLeft" activeCell="C3" sqref="C3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22.75" style="2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32" t="s">
        <v>9</v>
      </c>
      <c r="B1" s="32"/>
      <c r="K1" s="9"/>
    </row>
    <row r="2" spans="1:11" s="8" customFormat="1" x14ac:dyDescent="0.4">
      <c r="A2" s="33" t="s">
        <v>4</v>
      </c>
      <c r="B2" s="34"/>
      <c r="C2" s="10" t="s">
        <v>142</v>
      </c>
    </row>
    <row r="3" spans="1:11" s="8" customFormat="1" x14ac:dyDescent="0.4">
      <c r="A3" s="33" t="s">
        <v>13</v>
      </c>
      <c r="B3" s="34"/>
      <c r="C3" s="10" t="str">
        <f>_xlfn.XLOOKUP($C$2,テーブル一覧!$B:$B,テーブル一覧!$C:$C)</f>
        <v>マスタ</v>
      </c>
    </row>
    <row r="4" spans="1:11" s="8" customFormat="1" x14ac:dyDescent="0.4">
      <c r="A4" s="33" t="s">
        <v>22</v>
      </c>
      <c r="B4" s="34"/>
      <c r="C4" s="10" t="str">
        <f>_xlfn.XLOOKUP($C$2,テーブル一覧!$B:$B,テーブル一覧!$D:$D)</f>
        <v>mst_手配先</v>
      </c>
    </row>
    <row r="5" spans="1:11" s="8" customFormat="1" x14ac:dyDescent="0.4">
      <c r="A5" s="33" t="s">
        <v>23</v>
      </c>
      <c r="B5" s="34"/>
      <c r="C5" s="10" t="str">
        <f>_xlfn.XLOOKUP($C$2,テーブル一覧!$B:$B,テーブル一覧!$E:$E)</f>
        <v>手配先マスタ</v>
      </c>
    </row>
    <row r="6" spans="1:11" s="8" customFormat="1" x14ac:dyDescent="0.4">
      <c r="A6" s="33" t="s">
        <v>7</v>
      </c>
      <c r="B6" s="34"/>
      <c r="C6" s="10" t="str">
        <f>_xlfn.XLOOKUP($C$2,テーブル一覧!$B:$B,テーブル一覧!$F:$F)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5</v>
      </c>
      <c r="C8" s="25" t="s">
        <v>43</v>
      </c>
      <c r="D8" s="25" t="s">
        <v>44</v>
      </c>
      <c r="E8" s="25" t="s">
        <v>6</v>
      </c>
      <c r="F8" s="1"/>
      <c r="G8" s="1"/>
      <c r="H8" s="1"/>
      <c r="I8" s="1"/>
      <c r="J8" s="1"/>
      <c r="K8" s="1"/>
    </row>
    <row r="9" spans="1:11" s="3" customFormat="1" x14ac:dyDescent="0.4">
      <c r="A9" s="4">
        <f>ROW()-8</f>
        <v>1</v>
      </c>
      <c r="B9" s="5" t="s">
        <v>98</v>
      </c>
      <c r="C9" s="5" t="s">
        <v>100</v>
      </c>
      <c r="D9" s="29" t="s">
        <v>103</v>
      </c>
      <c r="E9" s="6"/>
    </row>
    <row r="10" spans="1:11" s="3" customFormat="1" x14ac:dyDescent="0.4">
      <c r="A10" s="4">
        <f>ROW()-8</f>
        <v>2</v>
      </c>
      <c r="B10" s="5" t="s">
        <v>99</v>
      </c>
      <c r="C10" s="6" t="s">
        <v>101</v>
      </c>
      <c r="D10" s="6" t="s">
        <v>102</v>
      </c>
      <c r="E10" s="6"/>
    </row>
  </sheetData>
  <mergeCells count="6">
    <mergeCell ref="A6:B6"/>
    <mergeCell ref="A1:B1"/>
    <mergeCell ref="A2:B2"/>
    <mergeCell ref="A3:B3"/>
    <mergeCell ref="A4:B4"/>
    <mergeCell ref="A5:B5"/>
  </mergeCells>
  <phoneticPr fontId="1"/>
  <hyperlinks>
    <hyperlink ref="A1" location="テーブル一覧!A1" display="一覧へ" xr:uid="{57E50DE5-2957-41E6-B16F-5B12CF9BFBC7}"/>
    <hyperlink ref="A1:B1" location="テーブル一覧!A1" display="テーブル一覧" xr:uid="{405C1A2E-C45D-449B-850A-1F5BE1AE02EB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DD26-94A1-4F83-B104-E86FDB237DE6}">
  <dimension ref="A1:K13"/>
  <sheetViews>
    <sheetView showGridLines="0" zoomScaleNormal="100" workbookViewId="0">
      <pane ySplit="8" topLeftCell="A9" activePane="bottomLeft" state="frozen"/>
      <selection activeCell="D25" sqref="D25"/>
      <selection pane="bottomLeft" activeCell="A14" sqref="A14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22.75" style="2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32" t="s">
        <v>9</v>
      </c>
      <c r="B1" s="32"/>
      <c r="K1" s="9"/>
    </row>
    <row r="2" spans="1:11" s="8" customFormat="1" x14ac:dyDescent="0.4">
      <c r="A2" s="33" t="s">
        <v>4</v>
      </c>
      <c r="B2" s="34"/>
      <c r="C2" s="10" t="s">
        <v>143</v>
      </c>
    </row>
    <row r="3" spans="1:11" s="8" customFormat="1" x14ac:dyDescent="0.4">
      <c r="A3" s="33" t="s">
        <v>13</v>
      </c>
      <c r="B3" s="34"/>
      <c r="C3" s="10" t="str">
        <f>_xlfn.XLOOKUP($C$2,テーブル一覧!$B:$B,テーブル一覧!$C:$C)</f>
        <v>マスタ</v>
      </c>
    </row>
    <row r="4" spans="1:11" s="8" customFormat="1" x14ac:dyDescent="0.4">
      <c r="A4" s="33" t="s">
        <v>22</v>
      </c>
      <c r="B4" s="34"/>
      <c r="C4" s="10" t="str">
        <f>_xlfn.XLOOKUP($C$2,テーブル一覧!$B:$B,テーブル一覧!$D:$D)</f>
        <v>mst_cav一覧</v>
      </c>
    </row>
    <row r="5" spans="1:11" s="8" customFormat="1" x14ac:dyDescent="0.4">
      <c r="A5" s="33" t="s">
        <v>23</v>
      </c>
      <c r="B5" s="34"/>
      <c r="C5" s="10" t="str">
        <f>_xlfn.XLOOKUP($C$2,テーブル一覧!$B:$B,テーブル一覧!$E:$E)</f>
        <v>cavマスタ</v>
      </c>
    </row>
    <row r="6" spans="1:11" s="8" customFormat="1" x14ac:dyDescent="0.4">
      <c r="A6" s="33" t="s">
        <v>7</v>
      </c>
      <c r="B6" s="34"/>
      <c r="C6" s="10" t="str">
        <f>_xlfn.XLOOKUP($C$2,テーブル一覧!$B:$B,テーブル一覧!$F:$F)</f>
        <v>cav情報マスタ.xlsx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5</v>
      </c>
      <c r="C8" s="25" t="s">
        <v>43</v>
      </c>
      <c r="D8" s="25" t="s">
        <v>44</v>
      </c>
      <c r="E8" s="25" t="s">
        <v>6</v>
      </c>
      <c r="F8" s="1"/>
      <c r="G8" s="1"/>
      <c r="H8" s="1"/>
      <c r="I8" s="1"/>
      <c r="J8" s="1"/>
      <c r="K8" s="1"/>
    </row>
    <row r="9" spans="1:11" s="3" customFormat="1" x14ac:dyDescent="0.4">
      <c r="A9" s="4">
        <f>ROW()-8</f>
        <v>1</v>
      </c>
      <c r="B9" s="40" t="s">
        <v>106</v>
      </c>
      <c r="C9" s="40"/>
      <c r="D9" s="41">
        <v>42</v>
      </c>
      <c r="E9" s="6"/>
    </row>
    <row r="10" spans="1:11" s="3" customFormat="1" x14ac:dyDescent="0.4">
      <c r="A10" s="4">
        <f>ROW()-8</f>
        <v>2</v>
      </c>
      <c r="B10" s="40" t="s">
        <v>107</v>
      </c>
      <c r="C10" s="40"/>
      <c r="D10" s="41" t="s">
        <v>150</v>
      </c>
      <c r="E10" s="6"/>
    </row>
    <row r="11" spans="1:11" s="3" customFormat="1" x14ac:dyDescent="0.4">
      <c r="A11" s="4">
        <f t="shared" ref="A11:A13" si="0">ROW()-8</f>
        <v>3</v>
      </c>
      <c r="B11" s="40" t="s">
        <v>114</v>
      </c>
      <c r="C11" s="40"/>
      <c r="D11" s="41">
        <v>20</v>
      </c>
      <c r="E11" s="6"/>
    </row>
    <row r="12" spans="1:11" s="3" customFormat="1" x14ac:dyDescent="0.4">
      <c r="A12" s="4">
        <f t="shared" si="0"/>
        <v>4</v>
      </c>
      <c r="B12" s="40" t="s">
        <v>115</v>
      </c>
      <c r="C12" s="40"/>
      <c r="D12" s="41" t="s">
        <v>148</v>
      </c>
      <c r="E12" s="6"/>
    </row>
    <row r="13" spans="1:11" s="3" customFormat="1" x14ac:dyDescent="0.4">
      <c r="A13" s="4">
        <f t="shared" si="0"/>
        <v>5</v>
      </c>
      <c r="B13" s="40" t="s">
        <v>160</v>
      </c>
      <c r="C13" s="40"/>
      <c r="D13" s="41" t="s">
        <v>161</v>
      </c>
      <c r="E13" s="6"/>
    </row>
  </sheetData>
  <mergeCells count="6">
    <mergeCell ref="A6:B6"/>
    <mergeCell ref="A1:B1"/>
    <mergeCell ref="A2:B2"/>
    <mergeCell ref="A3:B3"/>
    <mergeCell ref="A4:B4"/>
    <mergeCell ref="A5:B5"/>
  </mergeCells>
  <phoneticPr fontId="1"/>
  <hyperlinks>
    <hyperlink ref="A1" location="テーブル一覧!A1" display="一覧へ" xr:uid="{111D90E7-4125-4469-B31A-8D705048FC28}"/>
    <hyperlink ref="A1:B1" location="テーブル一覧!A1" display="テーブル一覧" xr:uid="{B1C1058E-7740-4731-8EE2-A1EB9D4EB6F6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12F4-FFE7-4902-BFCC-9483478E44A5}">
  <dimension ref="A1:K14"/>
  <sheetViews>
    <sheetView showGridLines="0" zoomScaleNormal="100" workbookViewId="0">
      <pane ySplit="8" topLeftCell="A9" activePane="bottomLeft" state="frozen"/>
      <selection activeCell="C2" sqref="C2:C6"/>
      <selection pane="bottomLeft" activeCell="C2" sqref="C2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22.75" style="2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32" t="s">
        <v>9</v>
      </c>
      <c r="B1" s="32"/>
      <c r="K1" s="9"/>
    </row>
    <row r="2" spans="1:11" s="8" customFormat="1" x14ac:dyDescent="0.4">
      <c r="A2" s="33" t="s">
        <v>4</v>
      </c>
      <c r="B2" s="34"/>
      <c r="C2" s="10" t="s">
        <v>134</v>
      </c>
    </row>
    <row r="3" spans="1:11" s="8" customFormat="1" x14ac:dyDescent="0.4">
      <c r="A3" s="33" t="s">
        <v>13</v>
      </c>
      <c r="B3" s="34"/>
      <c r="C3" s="10" t="str">
        <f>_xlfn.XLOOKUP($C$2,テーブル一覧!$B:$B,テーブル一覧!$C:$C)</f>
        <v>トランザクション</v>
      </c>
    </row>
    <row r="4" spans="1:11" s="8" customFormat="1" x14ac:dyDescent="0.4">
      <c r="A4" s="33" t="s">
        <v>22</v>
      </c>
      <c r="B4" s="34"/>
      <c r="C4" s="10" t="str">
        <f>_xlfn.XLOOKUP($C$2,テーブル一覧!$B:$B,テーブル一覧!$D:$D)</f>
        <v>STOP_LOG</v>
      </c>
    </row>
    <row r="5" spans="1:11" s="8" customFormat="1" x14ac:dyDescent="0.4">
      <c r="A5" s="33" t="s">
        <v>23</v>
      </c>
      <c r="B5" s="34"/>
      <c r="C5" s="10" t="str">
        <f>_xlfn.XLOOKUP($C$2,テーブル一覧!$B:$B,テーブル一覧!$E:$E)</f>
        <v>STOP_LOG</v>
      </c>
    </row>
    <row r="6" spans="1:11" s="8" customFormat="1" x14ac:dyDescent="0.4">
      <c r="A6" s="33" t="s">
        <v>7</v>
      </c>
      <c r="B6" s="34"/>
      <c r="C6" s="10" t="str">
        <f>_xlfn.XLOOKUP($C$2,テーブル一覧!$B:$B,テーブル一覧!$F:$F)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5</v>
      </c>
      <c r="C8" s="25" t="s">
        <v>43</v>
      </c>
      <c r="D8" s="25" t="s">
        <v>44</v>
      </c>
      <c r="E8" s="25" t="s">
        <v>6</v>
      </c>
      <c r="F8" s="1"/>
      <c r="G8" s="1"/>
      <c r="H8" s="1"/>
      <c r="I8" s="1"/>
      <c r="J8" s="1"/>
      <c r="K8" s="1"/>
    </row>
    <row r="9" spans="1:11" s="3" customFormat="1" x14ac:dyDescent="0.4">
      <c r="A9" s="4">
        <f t="shared" ref="A9:A14" si="0">ROW()-8</f>
        <v>1</v>
      </c>
      <c r="B9" s="5" t="s">
        <v>14</v>
      </c>
      <c r="C9" s="6" t="s">
        <v>63</v>
      </c>
      <c r="D9" s="5" t="s">
        <v>46</v>
      </c>
      <c r="E9" s="5"/>
    </row>
    <row r="10" spans="1:11" s="3" customFormat="1" x14ac:dyDescent="0.4">
      <c r="A10" s="4">
        <f t="shared" si="0"/>
        <v>2</v>
      </c>
      <c r="B10" s="5" t="s">
        <v>25</v>
      </c>
      <c r="C10" s="5"/>
      <c r="D10" s="5" t="s">
        <v>47</v>
      </c>
      <c r="E10" s="5"/>
    </row>
    <row r="11" spans="1:11" s="3" customFormat="1" x14ac:dyDescent="0.4">
      <c r="A11" s="4">
        <f t="shared" si="0"/>
        <v>3</v>
      </c>
      <c r="B11" s="28" t="s">
        <v>71</v>
      </c>
      <c r="C11" s="27" t="s">
        <v>72</v>
      </c>
      <c r="D11" s="30" t="s">
        <v>90</v>
      </c>
      <c r="E11" s="27" t="s">
        <v>89</v>
      </c>
    </row>
    <row r="12" spans="1:11" s="3" customFormat="1" x14ac:dyDescent="0.4">
      <c r="A12" s="4">
        <f t="shared" si="0"/>
        <v>4</v>
      </c>
      <c r="B12" s="5" t="s">
        <v>26</v>
      </c>
      <c r="C12" s="6" t="s">
        <v>64</v>
      </c>
      <c r="D12" s="6" t="s">
        <v>48</v>
      </c>
      <c r="E12" s="6"/>
    </row>
    <row r="13" spans="1:11" ht="78.75" x14ac:dyDescent="0.4">
      <c r="A13" s="4">
        <f t="shared" si="0"/>
        <v>5</v>
      </c>
      <c r="B13" s="5" t="s">
        <v>28</v>
      </c>
      <c r="C13" s="6" t="s">
        <v>65</v>
      </c>
      <c r="D13" s="6" t="s">
        <v>49</v>
      </c>
      <c r="E13" s="6" t="s">
        <v>66</v>
      </c>
    </row>
    <row r="14" spans="1:11" x14ac:dyDescent="0.4">
      <c r="A14" s="4">
        <f t="shared" si="0"/>
        <v>6</v>
      </c>
      <c r="B14" s="5" t="s">
        <v>27</v>
      </c>
      <c r="C14" s="6" t="s">
        <v>67</v>
      </c>
      <c r="D14" s="6" t="s">
        <v>50</v>
      </c>
      <c r="E14" s="6"/>
    </row>
  </sheetData>
  <mergeCells count="6">
    <mergeCell ref="A1:B1"/>
    <mergeCell ref="A2:B2"/>
    <mergeCell ref="A3:B3"/>
    <mergeCell ref="A4:B4"/>
    <mergeCell ref="A6:B6"/>
    <mergeCell ref="A5:B5"/>
  </mergeCells>
  <phoneticPr fontId="1"/>
  <hyperlinks>
    <hyperlink ref="A1" location="テーブル一覧!A1" display="一覧へ" xr:uid="{6590C8B5-E398-4408-A09D-F69CDB1BE237}"/>
    <hyperlink ref="A1:B1" location="テーブル一覧!A1" display="テーブル一覧" xr:uid="{57C424B1-50BD-4B53-AEF5-C96AD0CFBEB9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79D7-397E-46DC-94DB-A7304A81D537}">
  <dimension ref="A1:K23"/>
  <sheetViews>
    <sheetView showGridLines="0" zoomScaleNormal="100" workbookViewId="0">
      <pane ySplit="8" topLeftCell="A9" activePane="bottomLeft" state="frozen"/>
      <selection activeCell="C2" sqref="C2:C6"/>
      <selection pane="bottomLeft" activeCell="C2" sqref="C2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22.75" style="2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32" t="s">
        <v>9</v>
      </c>
      <c r="B1" s="32"/>
      <c r="K1" s="9"/>
    </row>
    <row r="2" spans="1:11" s="8" customFormat="1" x14ac:dyDescent="0.4">
      <c r="A2" s="33" t="s">
        <v>4</v>
      </c>
      <c r="B2" s="34"/>
      <c r="C2" s="10" t="s">
        <v>144</v>
      </c>
    </row>
    <row r="3" spans="1:11" s="8" customFormat="1" x14ac:dyDescent="0.4">
      <c r="A3" s="33" t="s">
        <v>13</v>
      </c>
      <c r="B3" s="34"/>
      <c r="C3" s="10" t="str">
        <f>_xlfn.XLOOKUP($C$2,テーブル一覧!$B:$B,テーブル一覧!$C:$C)</f>
        <v>トランザクション</v>
      </c>
    </row>
    <row r="4" spans="1:11" s="8" customFormat="1" x14ac:dyDescent="0.4">
      <c r="A4" s="33" t="s">
        <v>22</v>
      </c>
      <c r="B4" s="34"/>
      <c r="C4" s="10" t="str">
        <f>_xlfn.XLOOKUP($C$2,テーブル一覧!$B:$B,テーブル一覧!$D:$D)</f>
        <v>PROD_LOG</v>
      </c>
    </row>
    <row r="5" spans="1:11" s="8" customFormat="1" x14ac:dyDescent="0.4">
      <c r="A5" s="33" t="s">
        <v>23</v>
      </c>
      <c r="B5" s="34"/>
      <c r="C5" s="10" t="str">
        <f>_xlfn.XLOOKUP($C$2,テーブル一覧!$B:$B,テーブル一覧!$E:$E)</f>
        <v>PROD_LOG</v>
      </c>
    </row>
    <row r="6" spans="1:11" s="8" customFormat="1" x14ac:dyDescent="0.4">
      <c r="A6" s="33" t="s">
        <v>7</v>
      </c>
      <c r="B6" s="34"/>
      <c r="C6" s="10" t="str">
        <f>_xlfn.XLOOKUP($C$2,テーブル一覧!$B:$B,テーブル一覧!$F:$F)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5</v>
      </c>
      <c r="C8" s="25" t="s">
        <v>43</v>
      </c>
      <c r="D8" s="25" t="s">
        <v>44</v>
      </c>
      <c r="E8" s="25" t="s">
        <v>6</v>
      </c>
      <c r="F8" s="1"/>
      <c r="G8" s="1"/>
      <c r="H8" s="1"/>
      <c r="I8" s="1"/>
      <c r="J8" s="1"/>
      <c r="K8" s="1"/>
    </row>
    <row r="9" spans="1:11" s="3" customFormat="1" x14ac:dyDescent="0.4">
      <c r="A9" s="4">
        <f>ROW()-8</f>
        <v>1</v>
      </c>
      <c r="B9" s="5" t="s">
        <v>14</v>
      </c>
      <c r="C9" s="5" t="s">
        <v>68</v>
      </c>
      <c r="D9" s="5" t="s">
        <v>55</v>
      </c>
      <c r="E9" s="5"/>
    </row>
    <row r="10" spans="1:11" s="3" customFormat="1" x14ac:dyDescent="0.4">
      <c r="A10" s="4">
        <f t="shared" ref="A10:A23" si="0">ROW()-8</f>
        <v>2</v>
      </c>
      <c r="B10" s="5" t="s">
        <v>25</v>
      </c>
      <c r="C10" s="6"/>
      <c r="D10" s="6" t="s">
        <v>51</v>
      </c>
      <c r="E10" s="6"/>
    </row>
    <row r="11" spans="1:11" s="3" customFormat="1" x14ac:dyDescent="0.4">
      <c r="A11" s="4">
        <f t="shared" si="0"/>
        <v>3</v>
      </c>
      <c r="B11" s="28" t="s">
        <v>71</v>
      </c>
      <c r="C11" s="27" t="s">
        <v>72</v>
      </c>
      <c r="D11" s="30" t="s">
        <v>90</v>
      </c>
      <c r="E11" s="27" t="s">
        <v>89</v>
      </c>
    </row>
    <row r="12" spans="1:11" s="3" customFormat="1" x14ac:dyDescent="0.4">
      <c r="A12" s="4">
        <f t="shared" si="0"/>
        <v>4</v>
      </c>
      <c r="B12" s="5" t="s">
        <v>26</v>
      </c>
      <c r="C12" s="6" t="s">
        <v>64</v>
      </c>
      <c r="D12" s="6" t="s">
        <v>52</v>
      </c>
      <c r="E12" s="6"/>
    </row>
    <row r="13" spans="1:11" ht="78.75" x14ac:dyDescent="0.4">
      <c r="A13" s="4">
        <f t="shared" si="0"/>
        <v>5</v>
      </c>
      <c r="B13" s="5" t="s">
        <v>29</v>
      </c>
      <c r="C13" s="6" t="s">
        <v>65</v>
      </c>
      <c r="D13" s="6" t="s">
        <v>50</v>
      </c>
      <c r="E13" s="6" t="s">
        <v>45</v>
      </c>
    </row>
    <row r="14" spans="1:11" x14ac:dyDescent="0.4">
      <c r="A14" s="4">
        <f t="shared" si="0"/>
        <v>6</v>
      </c>
      <c r="B14" s="5" t="s">
        <v>35</v>
      </c>
      <c r="C14" s="6" t="s">
        <v>70</v>
      </c>
      <c r="D14" s="6" t="s">
        <v>56</v>
      </c>
      <c r="E14" s="6" t="s">
        <v>30</v>
      </c>
    </row>
    <row r="15" spans="1:11" x14ac:dyDescent="0.4">
      <c r="A15" s="4">
        <f t="shared" si="0"/>
        <v>7</v>
      </c>
      <c r="B15" s="5" t="s">
        <v>36</v>
      </c>
      <c r="C15" s="6" t="s">
        <v>70</v>
      </c>
      <c r="D15" s="6" t="s">
        <v>57</v>
      </c>
      <c r="E15" s="6" t="s">
        <v>30</v>
      </c>
    </row>
    <row r="16" spans="1:11" x14ac:dyDescent="0.4">
      <c r="A16" s="4">
        <f t="shared" si="0"/>
        <v>8</v>
      </c>
      <c r="B16" s="5" t="s">
        <v>37</v>
      </c>
      <c r="C16" s="6" t="s">
        <v>70</v>
      </c>
      <c r="D16" s="6" t="s">
        <v>58</v>
      </c>
      <c r="E16" s="6" t="s">
        <v>30</v>
      </c>
    </row>
    <row r="17" spans="1:11" x14ac:dyDescent="0.4">
      <c r="A17" s="4">
        <f t="shared" si="0"/>
        <v>9</v>
      </c>
      <c r="B17" s="5" t="s">
        <v>33</v>
      </c>
      <c r="C17" s="6" t="s">
        <v>70</v>
      </c>
      <c r="D17" s="6" t="s">
        <v>53</v>
      </c>
      <c r="E17" s="6" t="s">
        <v>30</v>
      </c>
    </row>
    <row r="18" spans="1:11" x14ac:dyDescent="0.4">
      <c r="A18" s="4">
        <f t="shared" si="0"/>
        <v>10</v>
      </c>
      <c r="B18" s="5" t="s">
        <v>34</v>
      </c>
      <c r="C18" s="6" t="s">
        <v>70</v>
      </c>
      <c r="D18" s="6" t="s">
        <v>59</v>
      </c>
      <c r="E18" s="6" t="s">
        <v>31</v>
      </c>
    </row>
    <row r="19" spans="1:11" x14ac:dyDescent="0.4">
      <c r="A19" s="4">
        <f t="shared" si="0"/>
        <v>11</v>
      </c>
      <c r="B19" s="5" t="s">
        <v>38</v>
      </c>
      <c r="C19" s="6" t="s">
        <v>69</v>
      </c>
      <c r="D19" s="6" t="s">
        <v>53</v>
      </c>
      <c r="E19" s="6" t="s">
        <v>30</v>
      </c>
    </row>
    <row r="20" spans="1:11" x14ac:dyDescent="0.4">
      <c r="A20" s="4">
        <f>ROW()-8</f>
        <v>12</v>
      </c>
      <c r="B20" s="5" t="s">
        <v>41</v>
      </c>
      <c r="C20" s="6" t="s">
        <v>70</v>
      </c>
      <c r="D20" s="6" t="s">
        <v>54</v>
      </c>
      <c r="E20" s="6" t="s">
        <v>32</v>
      </c>
      <c r="K20" s="1"/>
    </row>
    <row r="21" spans="1:11" x14ac:dyDescent="0.4">
      <c r="A21" s="4">
        <f t="shared" si="0"/>
        <v>13</v>
      </c>
      <c r="B21" s="5" t="s">
        <v>42</v>
      </c>
      <c r="C21" s="6" t="s">
        <v>70</v>
      </c>
      <c r="D21" s="6" t="s">
        <v>60</v>
      </c>
      <c r="E21" s="6" t="s">
        <v>32</v>
      </c>
      <c r="K21" s="1"/>
    </row>
    <row r="22" spans="1:11" x14ac:dyDescent="0.4">
      <c r="A22" s="4">
        <f t="shared" si="0"/>
        <v>14</v>
      </c>
      <c r="B22" s="5" t="s">
        <v>39</v>
      </c>
      <c r="C22" s="6" t="s">
        <v>70</v>
      </c>
      <c r="D22" s="6" t="s">
        <v>61</v>
      </c>
      <c r="E22" s="6" t="s">
        <v>30</v>
      </c>
      <c r="K22" s="1"/>
    </row>
    <row r="23" spans="1:11" x14ac:dyDescent="0.4">
      <c r="A23" s="4">
        <f t="shared" si="0"/>
        <v>15</v>
      </c>
      <c r="B23" s="5" t="s">
        <v>40</v>
      </c>
      <c r="C23" s="6" t="s">
        <v>70</v>
      </c>
      <c r="D23" s="5" t="s">
        <v>62</v>
      </c>
      <c r="E23" s="5"/>
      <c r="K23" s="1"/>
    </row>
  </sheetData>
  <mergeCells count="6">
    <mergeCell ref="A1:B1"/>
    <mergeCell ref="A2:B2"/>
    <mergeCell ref="A3:B3"/>
    <mergeCell ref="A4:B4"/>
    <mergeCell ref="A6:B6"/>
    <mergeCell ref="A5:B5"/>
  </mergeCells>
  <phoneticPr fontId="1"/>
  <hyperlinks>
    <hyperlink ref="A1" location="テーブル一覧!A1" display="一覧へ" xr:uid="{A6495C48-B18B-4BF7-B1A9-810359F99A65}"/>
    <hyperlink ref="A1:B1" location="テーブル一覧!A1" display="テーブル一覧" xr:uid="{BD5EBB36-EC13-440E-B89E-B7D9D171D10C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D94C-8473-481F-A498-C2D7C3357128}">
  <dimension ref="A1:W35"/>
  <sheetViews>
    <sheetView showGridLines="0" zoomScaleNormal="100" workbookViewId="0">
      <pane ySplit="8" topLeftCell="A9" activePane="bottomLeft" state="frozen"/>
      <selection activeCell="D25" sqref="D25"/>
      <selection pane="bottomLeft" sqref="A1:B1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22.75" style="2" customWidth="1"/>
    <col min="5" max="5" width="23.25" style="2" customWidth="1"/>
    <col min="6" max="6" width="2.375" style="2" customWidth="1"/>
    <col min="7" max="7" width="4.25" style="2" bestFit="1" customWidth="1"/>
    <col min="8" max="8" width="17.5" style="2" bestFit="1" customWidth="1"/>
    <col min="9" max="9" width="19.125" style="1" bestFit="1" customWidth="1"/>
    <col min="10" max="10" width="11.375" style="1" bestFit="1" customWidth="1"/>
    <col min="11" max="12" width="9" style="1"/>
    <col min="13" max="13" width="16.375" style="1" bestFit="1" customWidth="1"/>
    <col min="14" max="16384" width="9" style="1"/>
  </cols>
  <sheetData>
    <row r="1" spans="1:23" s="8" customFormat="1" x14ac:dyDescent="0.4">
      <c r="A1" s="32" t="s">
        <v>9</v>
      </c>
      <c r="B1" s="32"/>
    </row>
    <row r="2" spans="1:23" s="8" customFormat="1" x14ac:dyDescent="0.4">
      <c r="A2" s="33" t="s">
        <v>4</v>
      </c>
      <c r="B2" s="34"/>
      <c r="C2" s="10" t="s">
        <v>145</v>
      </c>
    </row>
    <row r="3" spans="1:23" s="8" customFormat="1" x14ac:dyDescent="0.4">
      <c r="A3" s="33" t="s">
        <v>13</v>
      </c>
      <c r="B3" s="34"/>
      <c r="C3" s="10" t="str">
        <f>_xlfn.XLOOKUP($C$2,テーブル一覧!$B:$B,テーブル一覧!$C:$C)</f>
        <v>トランザクション</v>
      </c>
    </row>
    <row r="4" spans="1:23" s="8" customFormat="1" x14ac:dyDescent="0.4">
      <c r="A4" s="33" t="s">
        <v>22</v>
      </c>
      <c r="B4" s="34"/>
      <c r="C4" s="10" t="str">
        <f>_xlfn.XLOOKUP($C$2,テーブル一覧!$B:$B,テーブル一覧!$D:$D)</f>
        <v>数値検査_LOG</v>
      </c>
    </row>
    <row r="5" spans="1:23" s="8" customFormat="1" x14ac:dyDescent="0.4">
      <c r="A5" s="33" t="s">
        <v>23</v>
      </c>
      <c r="B5" s="34"/>
      <c r="C5" s="10" t="str">
        <f>_xlfn.XLOOKUP($C$2,テーブル一覧!$B:$B,テーブル一覧!$E:$E)</f>
        <v>数値検査_LOG</v>
      </c>
    </row>
    <row r="6" spans="1:23" s="8" customFormat="1" x14ac:dyDescent="0.4">
      <c r="A6" s="33" t="s">
        <v>7</v>
      </c>
      <c r="B6" s="34"/>
      <c r="C6" s="10" t="str">
        <f>_xlfn.XLOOKUP($C$2,テーブル一覧!$B:$B,テーブル一覧!$F:$F)</f>
        <v>NAS</v>
      </c>
    </row>
    <row r="7" spans="1:23" x14ac:dyDescent="0.4">
      <c r="C7" s="2"/>
      <c r="G7" s="8"/>
      <c r="H7" s="8"/>
      <c r="I7" s="8"/>
      <c r="J7" s="8"/>
      <c r="K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x14ac:dyDescent="0.4">
      <c r="A8" s="25" t="s">
        <v>4</v>
      </c>
      <c r="B8" s="25" t="s">
        <v>5</v>
      </c>
      <c r="C8" s="25" t="s">
        <v>43</v>
      </c>
      <c r="D8" s="25" t="s">
        <v>44</v>
      </c>
      <c r="E8" s="25" t="s">
        <v>6</v>
      </c>
      <c r="F8" s="1"/>
      <c r="G8" s="8"/>
      <c r="H8" s="8"/>
      <c r="I8" s="8"/>
      <c r="J8" s="8"/>
    </row>
    <row r="9" spans="1:23" s="3" customFormat="1" x14ac:dyDescent="0.4">
      <c r="A9" s="4">
        <f>ROW()-8</f>
        <v>1</v>
      </c>
      <c r="B9" s="5" t="s">
        <v>106</v>
      </c>
      <c r="C9" s="5"/>
      <c r="D9" s="35">
        <v>42</v>
      </c>
      <c r="E9" s="5"/>
      <c r="G9" s="1"/>
      <c r="H9" s="1"/>
      <c r="I9" s="1"/>
      <c r="J9" s="1"/>
    </row>
    <row r="10" spans="1:23" s="3" customFormat="1" x14ac:dyDescent="0.4">
      <c r="A10" s="4">
        <f t="shared" ref="A10:A33" si="0">ROW()-8</f>
        <v>2</v>
      </c>
      <c r="B10" s="5" t="s">
        <v>107</v>
      </c>
      <c r="C10" s="6"/>
      <c r="D10" s="29" t="s">
        <v>150</v>
      </c>
      <c r="E10" s="6" t="s">
        <v>149</v>
      </c>
      <c r="G10" s="1"/>
      <c r="H10" s="1"/>
      <c r="I10" s="1"/>
      <c r="J10" s="1"/>
    </row>
    <row r="11" spans="1:23" s="3" customFormat="1" x14ac:dyDescent="0.4">
      <c r="A11" s="4">
        <f t="shared" si="0"/>
        <v>3</v>
      </c>
      <c r="B11" s="28" t="s">
        <v>108</v>
      </c>
      <c r="C11" s="27"/>
      <c r="D11" s="30" t="s">
        <v>151</v>
      </c>
      <c r="E11" s="6" t="s">
        <v>149</v>
      </c>
      <c r="G11" s="1"/>
      <c r="H11" s="1"/>
      <c r="I11" s="1"/>
      <c r="J11" s="1"/>
    </row>
    <row r="12" spans="1:23" s="3" customFormat="1" x14ac:dyDescent="0.4">
      <c r="A12" s="4">
        <f t="shared" si="0"/>
        <v>4</v>
      </c>
      <c r="B12" s="5" t="s">
        <v>99</v>
      </c>
      <c r="C12" s="6"/>
      <c r="D12" s="29" t="s">
        <v>152</v>
      </c>
      <c r="E12" s="6" t="s">
        <v>149</v>
      </c>
      <c r="G12" s="1"/>
      <c r="H12" s="1"/>
      <c r="I12" s="1"/>
      <c r="J12" s="1"/>
    </row>
    <row r="13" spans="1:23" x14ac:dyDescent="0.4">
      <c r="A13" s="4">
        <f t="shared" si="0"/>
        <v>5</v>
      </c>
      <c r="B13" s="5" t="s">
        <v>109</v>
      </c>
      <c r="C13" s="6"/>
      <c r="D13" s="29" t="s">
        <v>48</v>
      </c>
      <c r="E13" s="6"/>
      <c r="G13" s="1"/>
      <c r="H13" s="1"/>
    </row>
    <row r="14" spans="1:23" x14ac:dyDescent="0.4">
      <c r="A14" s="4">
        <f t="shared" si="0"/>
        <v>6</v>
      </c>
      <c r="B14" s="5" t="s">
        <v>110</v>
      </c>
      <c r="C14" s="6"/>
      <c r="D14" s="29" t="s">
        <v>157</v>
      </c>
      <c r="E14" s="6"/>
      <c r="G14" s="1"/>
      <c r="H14" s="1"/>
    </row>
    <row r="15" spans="1:23" x14ac:dyDescent="0.4">
      <c r="A15" s="4">
        <f t="shared" si="0"/>
        <v>7</v>
      </c>
      <c r="B15" s="5" t="s">
        <v>105</v>
      </c>
      <c r="C15" s="6"/>
      <c r="D15" s="29" t="s">
        <v>158</v>
      </c>
      <c r="E15" s="6"/>
      <c r="G15" s="1"/>
      <c r="H15" s="1"/>
    </row>
    <row r="16" spans="1:23" x14ac:dyDescent="0.4">
      <c r="A16" s="4">
        <f t="shared" si="0"/>
        <v>8</v>
      </c>
      <c r="B16" s="5" t="s">
        <v>111</v>
      </c>
      <c r="C16" s="6"/>
      <c r="D16" s="29">
        <v>45047</v>
      </c>
      <c r="E16" s="6"/>
      <c r="G16" s="1"/>
      <c r="H16" s="1"/>
    </row>
    <row r="17" spans="1:8" x14ac:dyDescent="0.4">
      <c r="A17" s="4">
        <f t="shared" si="0"/>
        <v>9</v>
      </c>
      <c r="B17" s="5" t="s">
        <v>112</v>
      </c>
      <c r="C17" s="6"/>
      <c r="D17" s="29" t="s">
        <v>153</v>
      </c>
      <c r="E17" s="6" t="s">
        <v>149</v>
      </c>
      <c r="G17" s="1"/>
      <c r="H17" s="1"/>
    </row>
    <row r="18" spans="1:8" x14ac:dyDescent="0.4">
      <c r="A18" s="4">
        <f t="shared" si="0"/>
        <v>10</v>
      </c>
      <c r="B18" s="5" t="s">
        <v>113</v>
      </c>
      <c r="C18" s="6"/>
      <c r="D18" s="29" t="s">
        <v>154</v>
      </c>
      <c r="E18" s="6"/>
      <c r="G18" s="1"/>
      <c r="H18" s="1"/>
    </row>
    <row r="19" spans="1:8" x14ac:dyDescent="0.4">
      <c r="A19" s="4">
        <f t="shared" si="0"/>
        <v>11</v>
      </c>
      <c r="B19" s="5" t="s">
        <v>114</v>
      </c>
      <c r="C19" s="6"/>
      <c r="D19" s="29">
        <v>1</v>
      </c>
      <c r="E19" s="6"/>
      <c r="G19" s="1"/>
      <c r="H19" s="1"/>
    </row>
    <row r="20" spans="1:8" x14ac:dyDescent="0.4">
      <c r="A20" s="4">
        <f>ROW()-8</f>
        <v>12</v>
      </c>
      <c r="B20" s="5" t="s">
        <v>115</v>
      </c>
      <c r="C20" s="6"/>
      <c r="D20" s="29" t="s">
        <v>159</v>
      </c>
      <c r="E20" s="6"/>
      <c r="G20" s="1"/>
      <c r="H20" s="1"/>
    </row>
    <row r="21" spans="1:8" x14ac:dyDescent="0.4">
      <c r="A21" s="4">
        <f t="shared" si="0"/>
        <v>13</v>
      </c>
      <c r="B21" s="5" t="s">
        <v>116</v>
      </c>
      <c r="C21" s="6"/>
      <c r="D21" s="29" t="s">
        <v>155</v>
      </c>
      <c r="E21" s="6"/>
      <c r="G21" s="1"/>
      <c r="H21" s="1"/>
    </row>
    <row r="22" spans="1:8" x14ac:dyDescent="0.4">
      <c r="A22" s="4">
        <f t="shared" si="0"/>
        <v>14</v>
      </c>
      <c r="B22" s="5" t="s">
        <v>117</v>
      </c>
      <c r="C22" s="6"/>
      <c r="D22" s="29" t="s">
        <v>156</v>
      </c>
      <c r="E22" s="6"/>
      <c r="G22" s="1"/>
      <c r="H22" s="1"/>
    </row>
    <row r="23" spans="1:8" x14ac:dyDescent="0.4">
      <c r="A23" s="4">
        <f t="shared" si="0"/>
        <v>15</v>
      </c>
      <c r="B23" s="5" t="s">
        <v>118</v>
      </c>
      <c r="C23" s="6"/>
      <c r="D23" s="35">
        <v>1</v>
      </c>
      <c r="E23" s="5"/>
      <c r="G23" s="1"/>
      <c r="H23" s="1"/>
    </row>
    <row r="24" spans="1:8" x14ac:dyDescent="0.4">
      <c r="A24" s="4">
        <f t="shared" si="0"/>
        <v>16</v>
      </c>
      <c r="B24" s="5" t="s">
        <v>119</v>
      </c>
      <c r="C24" s="6"/>
      <c r="D24" s="35" t="s">
        <v>163</v>
      </c>
      <c r="E24" s="5"/>
      <c r="G24" s="1"/>
      <c r="H24" s="1"/>
    </row>
    <row r="25" spans="1:8" x14ac:dyDescent="0.4">
      <c r="A25" s="4">
        <f t="shared" si="0"/>
        <v>17</v>
      </c>
      <c r="B25" s="5" t="s">
        <v>120</v>
      </c>
      <c r="C25" s="6"/>
      <c r="D25" s="35"/>
      <c r="E25" s="5"/>
      <c r="G25" s="1"/>
      <c r="H25" s="1"/>
    </row>
    <row r="26" spans="1:8" x14ac:dyDescent="0.4">
      <c r="A26" s="4">
        <f t="shared" si="0"/>
        <v>18</v>
      </c>
      <c r="B26" s="5" t="s">
        <v>121</v>
      </c>
      <c r="C26" s="6"/>
      <c r="D26" s="35"/>
      <c r="E26" s="5"/>
      <c r="G26" s="1"/>
      <c r="H26" s="1"/>
    </row>
    <row r="27" spans="1:8" x14ac:dyDescent="0.4">
      <c r="A27" s="4">
        <f t="shared" si="0"/>
        <v>19</v>
      </c>
      <c r="B27" s="5" t="s">
        <v>122</v>
      </c>
      <c r="C27" s="6"/>
      <c r="D27" s="35"/>
      <c r="E27" s="5"/>
      <c r="G27" s="1"/>
      <c r="H27" s="1"/>
    </row>
    <row r="28" spans="1:8" x14ac:dyDescent="0.4">
      <c r="A28" s="4">
        <f t="shared" si="0"/>
        <v>20</v>
      </c>
      <c r="B28" s="5" t="s">
        <v>123</v>
      </c>
      <c r="C28" s="6"/>
      <c r="D28" s="35"/>
      <c r="E28" s="5"/>
      <c r="G28" s="1"/>
      <c r="H28" s="1"/>
    </row>
    <row r="29" spans="1:8" x14ac:dyDescent="0.4">
      <c r="A29" s="4">
        <f t="shared" si="0"/>
        <v>21</v>
      </c>
      <c r="B29" s="5" t="s">
        <v>124</v>
      </c>
      <c r="C29" s="6"/>
      <c r="D29" s="35"/>
      <c r="E29" s="5"/>
      <c r="G29" s="1"/>
      <c r="H29" s="1"/>
    </row>
    <row r="30" spans="1:8" x14ac:dyDescent="0.4">
      <c r="A30" s="4">
        <f t="shared" si="0"/>
        <v>22</v>
      </c>
      <c r="B30" s="5" t="s">
        <v>125</v>
      </c>
      <c r="C30" s="6"/>
      <c r="D30" s="35"/>
      <c r="E30" s="5"/>
      <c r="G30" s="1"/>
      <c r="H30" s="1"/>
    </row>
    <row r="31" spans="1:8" x14ac:dyDescent="0.4">
      <c r="A31" s="4">
        <f t="shared" si="0"/>
        <v>23</v>
      </c>
      <c r="B31" s="5" t="s">
        <v>126</v>
      </c>
      <c r="C31" s="6"/>
      <c r="D31" s="35"/>
      <c r="E31" s="5"/>
      <c r="G31" s="1"/>
      <c r="H31" s="1"/>
    </row>
    <row r="32" spans="1:8" x14ac:dyDescent="0.4">
      <c r="A32" s="4">
        <f t="shared" si="0"/>
        <v>24</v>
      </c>
      <c r="B32" s="5" t="s">
        <v>127</v>
      </c>
      <c r="C32" s="6"/>
      <c r="D32" s="35"/>
      <c r="E32" s="5"/>
      <c r="G32" s="1"/>
      <c r="H32" s="1"/>
    </row>
    <row r="33" spans="1:8" x14ac:dyDescent="0.4">
      <c r="A33" s="4">
        <f t="shared" si="0"/>
        <v>25</v>
      </c>
      <c r="B33" s="5" t="s">
        <v>128</v>
      </c>
      <c r="C33" s="6"/>
      <c r="D33" s="35"/>
      <c r="E33" s="5"/>
      <c r="G33" s="1"/>
      <c r="H33" s="1"/>
    </row>
    <row r="34" spans="1:8" x14ac:dyDescent="0.4">
      <c r="G34" s="1"/>
      <c r="H34" s="1"/>
    </row>
    <row r="35" spans="1:8" x14ac:dyDescent="0.4">
      <c r="G35" s="1"/>
      <c r="H35" s="1"/>
    </row>
  </sheetData>
  <mergeCells count="6">
    <mergeCell ref="A6:B6"/>
    <mergeCell ref="A1:B1"/>
    <mergeCell ref="A2:B2"/>
    <mergeCell ref="A3:B3"/>
    <mergeCell ref="A4:B4"/>
    <mergeCell ref="A5:B5"/>
  </mergeCells>
  <phoneticPr fontId="38"/>
  <hyperlinks>
    <hyperlink ref="A1" location="テーブル一覧!A1" display="一覧へ" xr:uid="{189B396C-034F-488E-9CB5-2F31BBA7F464}"/>
    <hyperlink ref="A1:B1" location="テーブル一覧!A1" display="テーブル一覧" xr:uid="{EA87BE51-6F11-49D2-818A-6AA3368B5485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a7c1874bdb6a634514ff32b93ed330be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0951b501b23ee8b01ac0aca4dab0f9cf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0e60a-39fc-4745-abaa-4e95a5ee6b11" xsi:nil="true"/>
    <lcf76f155ced4ddcb4097134ff3c332f xmlns="b5c37a85-733b-43ca-bcfb-a65fb0b410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C98CE0-D001-4E5A-94F5-7DDDEAC3FAD5}"/>
</file>

<file path=customXml/itemProps2.xml><?xml version="1.0" encoding="utf-8"?>
<ds:datastoreItem xmlns:ds="http://schemas.openxmlformats.org/officeDocument/2006/customXml" ds:itemID="{8EC492F5-3651-4876-A8EB-CDB672510166}"/>
</file>

<file path=customXml/itemProps3.xml><?xml version="1.0" encoding="utf-8"?>
<ds:datastoreItem xmlns:ds="http://schemas.openxmlformats.org/officeDocument/2006/customXml" ds:itemID="{DB3DC77E-B6FD-4DBB-A399-F9ACCB9388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テーブル一覧</vt:lpstr>
      <vt:lpstr>ライン一覧マスタ</vt:lpstr>
      <vt:lpstr>停止要因マスタ</vt:lpstr>
      <vt:lpstr>手配先マスタ</vt:lpstr>
      <vt:lpstr>cavマスタ</vt:lpstr>
      <vt:lpstr>STOP_LOG</vt:lpstr>
      <vt:lpstr>PROD_LOG</vt:lpstr>
      <vt:lpstr>数値検査_LOG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TANAKA Takahito(田中 登仁)</dc:creator>
  <cp:lastModifiedBy>登仁 田中</cp:lastModifiedBy>
  <dcterms:created xsi:type="dcterms:W3CDTF">2020-04-03T01:08:04Z</dcterms:created>
  <dcterms:modified xsi:type="dcterms:W3CDTF">2024-05-21T08:29:10Z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