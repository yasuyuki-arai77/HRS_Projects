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work\01_仕事\02_案件\202306_ヒロセ電機\000_案件\20230703_稼働データPBI作成\"/>
    </mc:Choice>
  </mc:AlternateContent>
  <xr:revisionPtr revIDLastSave="0" documentId="13_ncr:1_{5F43FC22-8DF3-40F8-A370-ADE5A563D385}" xr6:coauthVersionLast="47" xr6:coauthVersionMax="47" xr10:uidLastSave="{00000000-0000-0000-0000-000000000000}"/>
  <bookViews>
    <workbookView xWindow="-120" yWindow="-120" windowWidth="29040" windowHeight="15720" tabRatio="832" xr2:uid="{00000000-000D-0000-FFFF-FFFF00000000}"/>
  </bookViews>
  <sheets>
    <sheet name="概要" sheetId="9" r:id="rId1"/>
    <sheet name="概要20230721仕様変更" sheetId="5" r:id="rId2"/>
    <sheet name="概要old" sheetId="3" r:id="rId3"/>
    <sheet name="Prod_log" sheetId="1" r:id="rId4"/>
    <sheet name="Stop_log" sheetId="2" r:id="rId5"/>
    <sheet name="調査" sheetId="4" r:id="rId6"/>
    <sheet name="凡例" sheetId="6" r:id="rId7"/>
    <sheet name="Sheet3" sheetId="7" r:id="rId8"/>
    <sheet name="Prod_log当日24H対応"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 i="8" l="1"/>
  <c r="D32" i="8"/>
  <c r="H32" i="8" s="1"/>
  <c r="D33" i="8"/>
  <c r="D34" i="8"/>
  <c r="D35" i="8"/>
  <c r="H35" i="8" s="1"/>
  <c r="D36" i="8"/>
  <c r="D37" i="8"/>
  <c r="H37" i="8" s="1"/>
  <c r="D38" i="8"/>
  <c r="H38" i="8" s="1"/>
  <c r="D39" i="8"/>
  <c r="D40" i="8"/>
  <c r="D41" i="8"/>
  <c r="D42" i="8"/>
  <c r="D43" i="8"/>
  <c r="D44" i="8"/>
  <c r="D45" i="8"/>
  <c r="H45" i="8" s="1"/>
  <c r="D46" i="8"/>
  <c r="H46" i="8" s="1"/>
  <c r="D47" i="8"/>
  <c r="D48" i="8"/>
  <c r="D49" i="8"/>
  <c r="D50" i="8"/>
  <c r="D51" i="8"/>
  <c r="D52" i="8"/>
  <c r="D53" i="8"/>
  <c r="H53" i="8" s="1"/>
  <c r="D54" i="8"/>
  <c r="H54" i="8" s="1"/>
  <c r="D55" i="8"/>
  <c r="D56" i="8"/>
  <c r="D57" i="8"/>
  <c r="D58" i="8"/>
  <c r="D59" i="8"/>
  <c r="D60" i="8"/>
  <c r="D61" i="8"/>
  <c r="H61" i="8" s="1"/>
  <c r="D62" i="8"/>
  <c r="H62" i="8" s="1"/>
  <c r="D63" i="8"/>
  <c r="D64" i="8"/>
  <c r="D65" i="8"/>
  <c r="D66" i="8"/>
  <c r="D67" i="8"/>
  <c r="H67" i="8" s="1"/>
  <c r="D68" i="8"/>
  <c r="D69" i="8"/>
  <c r="H69" i="8" s="1"/>
  <c r="D70" i="8"/>
  <c r="H70" i="8" s="1"/>
  <c r="D71" i="8"/>
  <c r="D72" i="8"/>
  <c r="D73" i="8"/>
  <c r="D74" i="8"/>
  <c r="D75" i="8"/>
  <c r="D76" i="8"/>
  <c r="D77" i="8"/>
  <c r="H77" i="8" s="1"/>
  <c r="D78" i="8"/>
  <c r="H78" i="8" s="1"/>
  <c r="D79" i="8"/>
  <c r="D30" i="8"/>
  <c r="H30" i="8" s="1"/>
  <c r="H31" i="8"/>
  <c r="H33" i="8"/>
  <c r="H34" i="8"/>
  <c r="H36" i="8"/>
  <c r="H39" i="8"/>
  <c r="H40" i="8"/>
  <c r="H41" i="8"/>
  <c r="H42" i="8"/>
  <c r="H43" i="8"/>
  <c r="H44" i="8"/>
  <c r="H47" i="8"/>
  <c r="H48" i="8"/>
  <c r="H49" i="8"/>
  <c r="H50" i="8"/>
  <c r="H51" i="8"/>
  <c r="H52" i="8"/>
  <c r="H55" i="8"/>
  <c r="H56" i="8"/>
  <c r="H57" i="8"/>
  <c r="H58" i="8"/>
  <c r="H59" i="8"/>
  <c r="H60" i="8"/>
  <c r="H63" i="8"/>
  <c r="H64" i="8"/>
  <c r="H65" i="8"/>
  <c r="H66" i="8"/>
  <c r="H68" i="8"/>
  <c r="H71" i="8"/>
  <c r="H72" i="8"/>
  <c r="H73" i="8"/>
  <c r="H74" i="8"/>
  <c r="H75" i="8"/>
  <c r="H76" i="8"/>
  <c r="H79" i="8"/>
  <c r="H29" i="8"/>
</calcChain>
</file>

<file path=xl/sharedStrings.xml><?xml version="1.0" encoding="utf-8"?>
<sst xmlns="http://schemas.openxmlformats.org/spreadsheetml/2006/main" count="2195" uniqueCount="525">
  <si>
    <t>時刻</t>
  </si>
  <si>
    <t>Nコード</t>
  </si>
  <si>
    <t>ラインNo.</t>
  </si>
  <si>
    <t>0:生産開始/1:定時/2：一時停止/3:生産終了/4:定時終了</t>
  </si>
  <si>
    <t>T投入数[個]</t>
  </si>
  <si>
    <t>T生産数[個]</t>
  </si>
  <si>
    <t>T梱包数[個]</t>
  </si>
  <si>
    <t>現在計画数[個]</t>
  </si>
  <si>
    <t>進捗率[%]</t>
  </si>
  <si>
    <t>T計画数[個]</t>
  </si>
  <si>
    <t>計画ﾏｼﾝﾀｸﾄ[10ms]</t>
  </si>
  <si>
    <t>平均ﾀｸﾄ[10ms]</t>
  </si>
  <si>
    <t>T不良数[個]</t>
  </si>
  <si>
    <t>T不良率ppm</t>
  </si>
  <si>
    <t>接点画像　JD0 T不良数</t>
  </si>
  <si>
    <t>接点画像　JD1 T不良数</t>
  </si>
  <si>
    <t>接点画像　JD2 T不良数</t>
  </si>
  <si>
    <t>接点画像　JD3 T不良数</t>
  </si>
  <si>
    <t>接点画像　JD4 T不良数</t>
  </si>
  <si>
    <t>接点画像　JD5 T不良数</t>
  </si>
  <si>
    <t>接点画像　JD6 T不良数</t>
  </si>
  <si>
    <t>接点画像　JD7 T不良数</t>
  </si>
  <si>
    <t>接点画像　JD8 T不良数</t>
  </si>
  <si>
    <t>接点画像　JD9 T不良数</t>
  </si>
  <si>
    <t>接点画像　JD10 T不良数</t>
  </si>
  <si>
    <t>接点画像　JD11 T不良数</t>
  </si>
  <si>
    <t>接点画像　JD12 T不良数</t>
  </si>
  <si>
    <t>接点画像　JD13 T不良数</t>
  </si>
  <si>
    <t>接点画像　JD14 T不良数</t>
  </si>
  <si>
    <t>接点画像　JD15 T不良数</t>
  </si>
  <si>
    <t>短絡検査　耐圧T不良数</t>
  </si>
  <si>
    <t>短絡検査　導通T不良数</t>
  </si>
  <si>
    <t>SMT画像　JD0 T不良数</t>
  </si>
  <si>
    <t>SMT画像　JD1 T不良数</t>
  </si>
  <si>
    <t>SMT画像　JD2 T不良数</t>
  </si>
  <si>
    <t>SMT画像　JD3 T不良数</t>
  </si>
  <si>
    <t>SMT画像　JD4 T不良数</t>
  </si>
  <si>
    <t>SMT画像　JD5 T不良数</t>
  </si>
  <si>
    <t>SMT画像　JD6 T不良数</t>
  </si>
  <si>
    <t>SMT画像　JD7 T不良数</t>
  </si>
  <si>
    <t>SMT画像　JD8 T不良数</t>
  </si>
  <si>
    <t>SMT画像　JD9 T不良数</t>
  </si>
  <si>
    <t>SMT画像　JD10 T不良数</t>
  </si>
  <si>
    <t>SMT画像　JD11 T不良数</t>
  </si>
  <si>
    <t>SMT画像　JD12 T不良数</t>
  </si>
  <si>
    <t>SMT画像　JD13 T不良数</t>
  </si>
  <si>
    <t>SMT画像　JD14 T不良数</t>
  </si>
  <si>
    <t>SMT画像　JD15 T不良数</t>
  </si>
  <si>
    <t>端子A欠品T不良数</t>
  </si>
  <si>
    <t>端子B欠品T不良数</t>
  </si>
  <si>
    <t>可動片欠品T不良数</t>
  </si>
  <si>
    <t>梱包画像　T不良数</t>
  </si>
  <si>
    <t>N000001514</t>
  </si>
  <si>
    <t>10FH75-06</t>
  </si>
  <si>
    <t>2023/06/01 08:00:01</t>
  </si>
  <si>
    <t>0</t>
  </si>
  <si>
    <t>0.0</t>
  </si>
  <si>
    <t>12000</t>
  </si>
  <si>
    <t>515</t>
  </si>
  <si>
    <t>1389</t>
  </si>
  <si>
    <t>2023/06/01 09:00:00</t>
  </si>
  <si>
    <t>1</t>
  </si>
  <si>
    <t>469</t>
  </si>
  <si>
    <t>467</t>
  </si>
  <si>
    <t>242</t>
  </si>
  <si>
    <t>500</t>
  </si>
  <si>
    <t>48.4</t>
  </si>
  <si>
    <t>503</t>
  </si>
  <si>
    <t>4</t>
  </si>
  <si>
    <t>2023/06/01 10:00:00</t>
  </si>
  <si>
    <t>1145</t>
  </si>
  <si>
    <t>1141</t>
  </si>
  <si>
    <t>917</t>
  </si>
  <si>
    <t>1000</t>
  </si>
  <si>
    <t>91.7</t>
  </si>
  <si>
    <t>873</t>
  </si>
  <si>
    <t>20</t>
  </si>
  <si>
    <t>2023/06/01 11:00:00</t>
  </si>
  <si>
    <t>1797</t>
  </si>
  <si>
    <t>1793</t>
  </si>
  <si>
    <t>1563</t>
  </si>
  <si>
    <t>1500</t>
  </si>
  <si>
    <t>104.2</t>
  </si>
  <si>
    <t>524</t>
  </si>
  <si>
    <t>2</t>
  </si>
  <si>
    <t>1112</t>
  </si>
  <si>
    <t>26</t>
  </si>
  <si>
    <t>2023/06/01 12:00:00</t>
  </si>
  <si>
    <t>2393</t>
  </si>
  <si>
    <t>2389</t>
  </si>
  <si>
    <t>2159</t>
  </si>
  <si>
    <t>2000</t>
  </si>
  <si>
    <t>107.9</t>
  </si>
  <si>
    <t>835</t>
  </si>
  <si>
    <t>47</t>
  </si>
  <si>
    <t>2023/06/01 13:00:00</t>
  </si>
  <si>
    <t>2499</t>
  </si>
  <si>
    <t>2495</t>
  </si>
  <si>
    <t>2265</t>
  </si>
  <si>
    <t>2500</t>
  </si>
  <si>
    <t>90.6</t>
  </si>
  <si>
    <t>800</t>
  </si>
  <si>
    <t>53</t>
  </si>
  <si>
    <t>2023/06/01 14:00:00</t>
  </si>
  <si>
    <t>2817</t>
  </si>
  <si>
    <t>2810</t>
  </si>
  <si>
    <t>2569</t>
  </si>
  <si>
    <t>3000</t>
  </si>
  <si>
    <t>85.6</t>
  </si>
  <si>
    <t>3</t>
  </si>
  <si>
    <t>1064</t>
  </si>
  <si>
    <t>55</t>
  </si>
  <si>
    <t>2023/06/01 15:00:00</t>
  </si>
  <si>
    <t>3480</t>
  </si>
  <si>
    <t>3471</t>
  </si>
  <si>
    <t>3230</t>
  </si>
  <si>
    <t>3500</t>
  </si>
  <si>
    <t>92.3</t>
  </si>
  <si>
    <t>473</t>
  </si>
  <si>
    <t>1149</t>
  </si>
  <si>
    <t>63</t>
  </si>
  <si>
    <t>2023/06/01 16:00:00</t>
  </si>
  <si>
    <t>3889</t>
  </si>
  <si>
    <t>3879</t>
  </si>
  <si>
    <t>3634</t>
  </si>
  <si>
    <t>4000</t>
  </si>
  <si>
    <t>90.9</t>
  </si>
  <si>
    <t>3806</t>
  </si>
  <si>
    <t>1028</t>
  </si>
  <si>
    <t>74</t>
  </si>
  <si>
    <t>2023/06/01 17:00:00</t>
  </si>
  <si>
    <t>4496</t>
  </si>
  <si>
    <t>4485</t>
  </si>
  <si>
    <t>4237</t>
  </si>
  <si>
    <t>4500</t>
  </si>
  <si>
    <t>94.2</t>
  </si>
  <si>
    <t>523</t>
  </si>
  <si>
    <t>889</t>
  </si>
  <si>
    <t>76</t>
  </si>
  <si>
    <t>2023/06/01 18:00:00</t>
  </si>
  <si>
    <t>4673</t>
  </si>
  <si>
    <t>4662</t>
  </si>
  <si>
    <t>4415</t>
  </si>
  <si>
    <t>5000</t>
  </si>
  <si>
    <t>88.3</t>
  </si>
  <si>
    <t>855</t>
  </si>
  <si>
    <t>2023/06/01 19:00:00</t>
  </si>
  <si>
    <t>4692</t>
  </si>
  <si>
    <t>4680</t>
  </si>
  <si>
    <t>4433</t>
  </si>
  <si>
    <t>5500</t>
  </si>
  <si>
    <t>80.6</t>
  </si>
  <si>
    <t>852</t>
  </si>
  <si>
    <t>2023/06/01 20:00:00</t>
  </si>
  <si>
    <t>5378</t>
  </si>
  <si>
    <t>5366</t>
  </si>
  <si>
    <t>5112</t>
  </si>
  <si>
    <t>6000</t>
  </si>
  <si>
    <t>85.2</t>
  </si>
  <si>
    <t>5</t>
  </si>
  <si>
    <t>929</t>
  </si>
  <si>
    <t>2023/06/01 21:00:00</t>
  </si>
  <si>
    <t>5984</t>
  </si>
  <si>
    <t>5731</t>
  </si>
  <si>
    <t>6500</t>
  </si>
  <si>
    <t>88.2</t>
  </si>
  <si>
    <t>474</t>
  </si>
  <si>
    <t>6</t>
  </si>
  <si>
    <t>2023/06/01 22:00:00</t>
  </si>
  <si>
    <t>6666</t>
  </si>
  <si>
    <t>6650</t>
  </si>
  <si>
    <t>6397</t>
  </si>
  <si>
    <t>7000</t>
  </si>
  <si>
    <t>91.4</t>
  </si>
  <si>
    <t>554</t>
  </si>
  <si>
    <t>900</t>
  </si>
  <si>
    <t>2023/06/01 23:00:00</t>
  </si>
  <si>
    <t>7361</t>
  </si>
  <si>
    <t>7346</t>
  </si>
  <si>
    <t>7092</t>
  </si>
  <si>
    <t>7500</t>
  </si>
  <si>
    <t>94.6</t>
  </si>
  <si>
    <t>815</t>
  </si>
  <si>
    <t>2023/06/02 00:00:00</t>
  </si>
  <si>
    <t>7910</t>
  </si>
  <si>
    <t>7891</t>
  </si>
  <si>
    <t>7636</t>
  </si>
  <si>
    <t>8000</t>
  </si>
  <si>
    <t>95.5</t>
  </si>
  <si>
    <t>758</t>
  </si>
  <si>
    <t>2023/06/02 01:00:00</t>
  </si>
  <si>
    <t>8565</t>
  </si>
  <si>
    <t>8547</t>
  </si>
  <si>
    <t>8291</t>
  </si>
  <si>
    <t>8500</t>
  </si>
  <si>
    <t>97.5</t>
  </si>
  <si>
    <t>491</t>
  </si>
  <si>
    <t>700</t>
  </si>
  <si>
    <t>81</t>
  </si>
  <si>
    <t>2023/06/02 02:00:00</t>
  </si>
  <si>
    <t>9242</t>
  </si>
  <si>
    <t>9222</t>
  </si>
  <si>
    <t>8967</t>
  </si>
  <si>
    <t>9000</t>
  </si>
  <si>
    <t>99.6</t>
  </si>
  <si>
    <t>504</t>
  </si>
  <si>
    <t>649</t>
  </si>
  <si>
    <t>87</t>
  </si>
  <si>
    <t>2023/06/02 03:00:00</t>
  </si>
  <si>
    <t>9921</t>
  </si>
  <si>
    <t>9901</t>
  </si>
  <si>
    <t>9642</t>
  </si>
  <si>
    <t>9500</t>
  </si>
  <si>
    <t>101.5</t>
  </si>
  <si>
    <t>536</t>
  </si>
  <si>
    <t>604</t>
  </si>
  <si>
    <t>97</t>
  </si>
  <si>
    <t>2023/06/02 04:00:00</t>
  </si>
  <si>
    <t>10526</t>
  </si>
  <si>
    <t>10505</t>
  </si>
  <si>
    <t>10247</t>
  </si>
  <si>
    <t>10000</t>
  </si>
  <si>
    <t>102.5</t>
  </si>
  <si>
    <t>570</t>
  </si>
  <si>
    <t>107</t>
  </si>
  <si>
    <t>2023/06/02 05:00:00</t>
  </si>
  <si>
    <t>11196</t>
  </si>
  <si>
    <t>11174</t>
  </si>
  <si>
    <t>10916</t>
  </si>
  <si>
    <t>10500</t>
  </si>
  <si>
    <t>104.0</t>
  </si>
  <si>
    <t>535</t>
  </si>
  <si>
    <t>2023/06/02 06:00:00</t>
  </si>
  <si>
    <t>11882</t>
  </si>
  <si>
    <t>11860</t>
  </si>
  <si>
    <t>11602</t>
  </si>
  <si>
    <t>11000</t>
  </si>
  <si>
    <t>105.5</t>
  </si>
  <si>
    <t>110</t>
  </si>
  <si>
    <t>2023/06/02 07:00:00</t>
  </si>
  <si>
    <t>12438</t>
  </si>
  <si>
    <t>12417</t>
  </si>
  <si>
    <t>12159</t>
  </si>
  <si>
    <t>11500</t>
  </si>
  <si>
    <t>105.7</t>
  </si>
  <si>
    <t>482</t>
  </si>
  <si>
    <t>114</t>
  </si>
  <si>
    <t>2023/06/02 08:00:00</t>
  </si>
  <si>
    <t>101.3</t>
  </si>
  <si>
    <t>0:開始待/1:開始/2:停止/3:再開/4:終了</t>
  </si>
  <si>
    <t>要因No.</t>
  </si>
  <si>
    <t>N000002169</t>
  </si>
  <si>
    <t>10FH75-01</t>
  </si>
  <si>
    <t>2023/06/01 08:54:47</t>
  </si>
  <si>
    <t>2023/06/01 09:17:37</t>
  </si>
  <si>
    <t>2023/06/01 09:21:59</t>
  </si>
  <si>
    <t>2023/06/01 09:22:35</t>
  </si>
  <si>
    <t>2023/06/01 09:24:34</t>
  </si>
  <si>
    <t>2023/06/01 09:25:02</t>
  </si>
  <si>
    <t>2023/06/01 09:25:16</t>
  </si>
  <si>
    <t>2023/06/01 09:25:44</t>
  </si>
  <si>
    <t>2023/06/01 09:25:55</t>
  </si>
  <si>
    <t>2023/06/01 09:30:27</t>
  </si>
  <si>
    <t>2023/06/01 09:42:01</t>
  </si>
  <si>
    <t>2023/06/01 09:43:43</t>
  </si>
  <si>
    <t>2023/06/01 09:45:55</t>
  </si>
  <si>
    <t>2023/06/01 09:46:20</t>
  </si>
  <si>
    <t>2023/06/01 09:47:21</t>
  </si>
  <si>
    <t>2023/06/01 10:03:51</t>
  </si>
  <si>
    <t>2023/06/01 10:05:09</t>
  </si>
  <si>
    <t>2023/06/01 11:24:41</t>
  </si>
  <si>
    <t>2023/06/01 11:43:03</t>
  </si>
  <si>
    <t>2023/06/01 11:45:58</t>
  </si>
  <si>
    <t>2023/06/01 11:46:12</t>
  </si>
  <si>
    <t>2023/06/01 11:46:47</t>
  </si>
  <si>
    <t>2023/06/01 11:47:01</t>
  </si>
  <si>
    <t>2023/06/01 12:55:44</t>
  </si>
  <si>
    <t>11</t>
  </si>
  <si>
    <t>2023/06/01 12:57:35</t>
  </si>
  <si>
    <t>2023/06/01 13:27:58</t>
  </si>
  <si>
    <t>10</t>
  </si>
  <si>
    <t>2023/06/01 13:40:45</t>
  </si>
  <si>
    <t>2023/06/01 13:51:54</t>
  </si>
  <si>
    <t>2023/06/01 13:52:34</t>
  </si>
  <si>
    <t>2023/06/01 14:59:41</t>
  </si>
  <si>
    <t>2023/06/01 15:12:36</t>
  </si>
  <si>
    <t>2023/06/01 15:16:42</t>
  </si>
  <si>
    <t>2023/06/01 15:18:41</t>
  </si>
  <si>
    <t>2023/06/01 15:19:32</t>
  </si>
  <si>
    <t>2023/06/01 15:45:57</t>
  </si>
  <si>
    <t>2023/06/01 15:47:21</t>
  </si>
  <si>
    <t>2023/06/01 15:52:56</t>
  </si>
  <si>
    <t>2023/06/01 16:11:40</t>
  </si>
  <si>
    <t>2023/06/01 16:12:35</t>
  </si>
  <si>
    <t>2023/06/01 16:13:08</t>
  </si>
  <si>
    <t>2023/06/01 16:15:14</t>
  </si>
  <si>
    <t>2023/06/01 17:22:43</t>
  </si>
  <si>
    <t>9</t>
  </si>
  <si>
    <t>2023/06/01 17:22:56</t>
  </si>
  <si>
    <t>2023/06/01 17:28:25</t>
  </si>
  <si>
    <t>2023/06/01 17:29:34</t>
  </si>
  <si>
    <t>2023/06/01 17:30:28</t>
  </si>
  <si>
    <t>2023/06/01 17:32:07</t>
  </si>
  <si>
    <t>2023/06/01 17:52:56</t>
  </si>
  <si>
    <t>2023/06/01 17:53:48</t>
  </si>
  <si>
    <t>2023/06/01 18:08:01</t>
  </si>
  <si>
    <t>2023/06/01 18:08:10</t>
  </si>
  <si>
    <t>2023/06/01 18:08:27</t>
  </si>
  <si>
    <t>2023/06/01 18:08:37</t>
  </si>
  <si>
    <t>2023/06/01 18:49:52</t>
  </si>
  <si>
    <t>2023/06/01 18:55:45</t>
  </si>
  <si>
    <t>2023/06/01 20:25:21</t>
  </si>
  <si>
    <t>2023/06/01 20:25:35</t>
  </si>
  <si>
    <t>2023/06/01 20:34:49</t>
  </si>
  <si>
    <t>2023/06/01 20:35:25</t>
  </si>
  <si>
    <t>2023/06/01 20:48:04</t>
  </si>
  <si>
    <t>2023/06/01 20:49:15</t>
  </si>
  <si>
    <t>2023/06/01 21:49:46</t>
  </si>
  <si>
    <t>2023/06/01 21:52:36</t>
  </si>
  <si>
    <t>2023/06/02 00:08:30</t>
  </si>
  <si>
    <t>2023/06/02 00:09:06</t>
  </si>
  <si>
    <t>2023/06/02 00:44:32</t>
  </si>
  <si>
    <t>2023/06/02 00:47:21</t>
  </si>
  <si>
    <t>2023/06/02 01:59:26</t>
  </si>
  <si>
    <t>7</t>
  </si>
  <si>
    <t>2023/06/02 02:00:59</t>
  </si>
  <si>
    <t>2023/06/02 03:39:58</t>
  </si>
  <si>
    <t>2023/06/02 03:43:11</t>
  </si>
  <si>
    <t>2023/06/02 04:03:08</t>
  </si>
  <si>
    <t>2023/06/02 04:21:05</t>
  </si>
  <si>
    <t>2023/06/02 04:21:11</t>
  </si>
  <si>
    <t>2023/06/02 04:21:22</t>
  </si>
  <si>
    <t>2023/06/02 04:22:28</t>
  </si>
  <si>
    <t>2023/06/02 04:23:17</t>
  </si>
  <si>
    <t>2023/06/02 04:25:07</t>
  </si>
  <si>
    <t>稼働データPBIのパトライト画面を作成したい</t>
    <rPh sb="0" eb="2">
      <t>カドウ</t>
    </rPh>
    <rPh sb="14" eb="16">
      <t>ガメン</t>
    </rPh>
    <rPh sb="17" eb="19">
      <t>サクセイ</t>
    </rPh>
    <phoneticPr fontId="1"/>
  </si>
  <si>
    <t>https://deablog.net/powerbi-craydec-timelines/</t>
    <phoneticPr fontId="1"/>
  </si>
  <si>
    <t>時間</t>
    <rPh sb="0" eb="2">
      <t>ジカン</t>
    </rPh>
    <phoneticPr fontId="1"/>
  </si>
  <si>
    <t>個人アドレスの使用不可</t>
    <rPh sb="0" eb="2">
      <t>コジン</t>
    </rPh>
    <rPh sb="7" eb="9">
      <t>シヨウ</t>
    </rPh>
    <rPh sb="9" eb="11">
      <t>フカ</t>
    </rPh>
    <phoneticPr fontId="1"/>
  </si>
  <si>
    <r>
      <t>「その他のビジュアルの取得」機能を使用するにはPowerBIアカウントへのサインインが必要なようですが、
個人アカウント（outlook.com、hotmail.com、gmail.com）ではサインインできず、組織のドメインでのログインが必要なようです。
※これまで現場で貸与されたアカウントでしかログインしなかったので認識ありませんでした、、
https://learn.microsoft.com/ja-jp/power-bi/fundamentals/service-self-service-signup-for-power-bi
　</t>
    </r>
    <r>
      <rPr>
        <sz val="11"/>
        <color theme="1"/>
        <rFont val="Microsoft JhengHei"/>
        <family val="2"/>
      </rPr>
      <t>└</t>
    </r>
    <r>
      <rPr>
        <sz val="11"/>
        <color theme="1"/>
        <rFont val="Yu Gothic"/>
        <family val="2"/>
        <scheme val="minor"/>
      </rPr>
      <t>「サポートされているメール アドレス」欄より抜粋
他の方法がないか引き続き調査してみます。</t>
    </r>
    <rPh sb="134" eb="136">
      <t>ゲンバ</t>
    </rPh>
    <rPh sb="137" eb="139">
      <t>タイヨ</t>
    </rPh>
    <rPh sb="161" eb="163">
      <t>ニンシキ</t>
    </rPh>
    <rPh sb="300" eb="301">
      <t>ホカ</t>
    </rPh>
    <rPh sb="302" eb="304">
      <t>ホウホウ</t>
    </rPh>
    <rPh sb="308" eb="309">
      <t>ヒ</t>
    </rPh>
    <rPh sb="310" eb="311">
      <t>ツヅ</t>
    </rPh>
    <rPh sb="312" eb="314">
      <t>チョウサ</t>
    </rPh>
    <phoneticPr fontId="1"/>
  </si>
  <si>
    <t>Microsoft 365で Power BI にサインアップする方法があるようです。
（法人用Microsoft アカウントを作成→法人用メールアドレス作成→PowerBIDesktopにログイン）
https://learn.microsoft.com/ja-jp/power-bi/enterprise/service-admin-signing-up-for-power-bi-with-a-new-office-365-trial
こちら後日試してみようかと思います。</t>
    <rPh sb="33" eb="35">
      <t>ホウホウ</t>
    </rPh>
    <rPh sb="45" eb="48">
      <t>ホウジンヨウ</t>
    </rPh>
    <rPh sb="67" eb="70">
      <t>ホウジンヨウ</t>
    </rPh>
    <rPh sb="77" eb="79">
      <t>サクセイ</t>
    </rPh>
    <rPh sb="225" eb="227">
      <t>ゴジツ</t>
    </rPh>
    <rPh sb="227" eb="228">
      <t>タメ</t>
    </rPh>
    <rPh sb="235" eb="236">
      <t>オモ</t>
    </rPh>
    <phoneticPr fontId="1"/>
  </si>
  <si>
    <t>稼働データ作成</t>
    <rPh sb="0" eb="2">
      <t>カドウ</t>
    </rPh>
    <rPh sb="5" eb="7">
      <t>サクセイ</t>
    </rPh>
    <phoneticPr fontId="1"/>
  </si>
  <si>
    <t>◆概要</t>
    <rPh sb="1" eb="3">
      <t>ガイヨウ</t>
    </rPh>
    <phoneticPr fontId="1"/>
  </si>
  <si>
    <t>◆確認事項</t>
    <rPh sb="1" eb="5">
      <t>カクニンジコウ</t>
    </rPh>
    <phoneticPr fontId="1"/>
  </si>
  <si>
    <t>0:開始待</t>
    <phoneticPr fontId="1"/>
  </si>
  <si>
    <t>1:開始</t>
    <phoneticPr fontId="1"/>
  </si>
  <si>
    <t>2:停止</t>
    <phoneticPr fontId="1"/>
  </si>
  <si>
    <t>3:再開</t>
    <phoneticPr fontId="1"/>
  </si>
  <si>
    <t>4:終了</t>
    <phoneticPr fontId="1"/>
  </si>
  <si>
    <t>ステータス</t>
    <phoneticPr fontId="1"/>
  </si>
  <si>
    <t>◆作成画面</t>
    <rPh sb="1" eb="3">
      <t>サクセイ</t>
    </rPh>
    <rPh sb="3" eb="5">
      <t>ガメン</t>
    </rPh>
    <phoneticPr fontId="1"/>
  </si>
  <si>
    <t>ライン1</t>
    <phoneticPr fontId="1"/>
  </si>
  <si>
    <t>ライン2</t>
    <phoneticPr fontId="1"/>
  </si>
  <si>
    <t>・オブジェクト1：選択したラインの稼働状態画面</t>
    <rPh sb="9" eb="11">
      <t>センタク</t>
    </rPh>
    <rPh sb="17" eb="21">
      <t>カドウジョウタイ</t>
    </rPh>
    <rPh sb="21" eb="23">
      <t>ガメン</t>
    </rPh>
    <phoneticPr fontId="1"/>
  </si>
  <si>
    <t>・オブジェクト2：選択した日のラインごとの状態表示</t>
    <rPh sb="9" eb="11">
      <t>センタク</t>
    </rPh>
    <rPh sb="13" eb="14">
      <t>ヒ</t>
    </rPh>
    <rPh sb="21" eb="23">
      <t>ジョウタイ</t>
    </rPh>
    <rPh sb="23" eb="25">
      <t>ヒョウジ</t>
    </rPh>
    <phoneticPr fontId="1"/>
  </si>
  <si>
    <t>・7/5に完了目途のご報告（完了ではない。周1稼働前提で試算）</t>
    <rPh sb="5" eb="7">
      <t>カンリョウ</t>
    </rPh>
    <rPh sb="7" eb="9">
      <t>メド</t>
    </rPh>
    <rPh sb="11" eb="13">
      <t>ホウコク</t>
    </rPh>
    <rPh sb="14" eb="16">
      <t>カンリョウ</t>
    </rPh>
    <rPh sb="21" eb="22">
      <t>シュウ</t>
    </rPh>
    <rPh sb="23" eb="25">
      <t>カドウ</t>
    </rPh>
    <rPh sb="25" eb="27">
      <t>ゼンテイ</t>
    </rPh>
    <rPh sb="28" eb="30">
      <t>シサン</t>
    </rPh>
    <phoneticPr fontId="1"/>
  </si>
  <si>
    <t>　→工数は2人日を予定しておりますので、その他のビジュアルが使用できるようになれば来週または再来週には一次報告できる予定です</t>
    <rPh sb="2" eb="4">
      <t>コウスウ</t>
    </rPh>
    <rPh sb="6" eb="8">
      <t>ニンニチ</t>
    </rPh>
    <rPh sb="9" eb="11">
      <t>ヨテイ</t>
    </rPh>
    <rPh sb="41" eb="43">
      <t>ライシュウ</t>
    </rPh>
    <rPh sb="46" eb="49">
      <t>サライシュウ</t>
    </rPh>
    <rPh sb="51" eb="55">
      <t>イチジホウコク</t>
    </rPh>
    <rPh sb="58" eb="60">
      <t>ヨテイ</t>
    </rPh>
    <phoneticPr fontId="1"/>
  </si>
  <si>
    <t>調査内容</t>
    <rPh sb="0" eb="4">
      <t>チョウサナイヨウ</t>
    </rPh>
    <phoneticPr fontId="1"/>
  </si>
  <si>
    <t>※状態ごとの色分け機能がないと実現難しい想定</t>
    <rPh sb="1" eb="3">
      <t>ジョウタイ</t>
    </rPh>
    <rPh sb="6" eb="8">
      <t>イロワ</t>
    </rPh>
    <rPh sb="9" eb="11">
      <t>キノウ</t>
    </rPh>
    <rPh sb="15" eb="17">
      <t>ジツゲン</t>
    </rPh>
    <rPh sb="17" eb="18">
      <t>ムズカ</t>
    </rPh>
    <rPh sb="20" eb="22">
      <t>ソウテイ</t>
    </rPh>
    <phoneticPr fontId="1"/>
  </si>
  <si>
    <t>・Stop_logの要因Noと紐づける要因マスタをいただけますでしょうか</t>
    <rPh sb="10" eb="12">
      <t>ヨウイン</t>
    </rPh>
    <rPh sb="15" eb="16">
      <t>ヒモ</t>
    </rPh>
    <rPh sb="19" eb="21">
      <t>ヨウイン</t>
    </rPh>
    <phoneticPr fontId="1"/>
  </si>
  <si>
    <t>→ガントチャートの調査</t>
    <rPh sb="9" eb="11">
      <t>チョウサ</t>
    </rPh>
    <phoneticPr fontId="1"/>
  </si>
  <si>
    <t>→文字でよい</t>
    <rPh sb="1" eb="3">
      <t>モジ</t>
    </rPh>
    <phoneticPr fontId="1"/>
  </si>
  <si>
    <t>・オブジェクト1のように色分け（※あくまで凡例の名前）するため、以下のステータスを色分けしたいです。ご指定の色はございますか。</t>
    <rPh sb="12" eb="13">
      <t>イロ</t>
    </rPh>
    <rPh sb="13" eb="14">
      <t>ワ</t>
    </rPh>
    <rPh sb="21" eb="23">
      <t>ハンレイ</t>
    </rPh>
    <rPh sb="24" eb="26">
      <t>ナマエ</t>
    </rPh>
    <rPh sb="32" eb="34">
      <t>イカ</t>
    </rPh>
    <rPh sb="41" eb="42">
      <t>イロ</t>
    </rPh>
    <rPh sb="42" eb="43">
      <t>ワ</t>
    </rPh>
    <rPh sb="51" eb="53">
      <t>シテイ</t>
    </rPh>
    <rPh sb="54" eb="55">
      <t>イロ</t>
    </rPh>
    <phoneticPr fontId="1"/>
  </si>
  <si>
    <t>◆スケジュール</t>
    <phoneticPr fontId="1"/>
  </si>
  <si>
    <t>→</t>
    <phoneticPr fontId="1"/>
  </si>
  <si>
    <t>8/9-10に社長視察</t>
    <rPh sb="7" eb="9">
      <t>シャチョウ</t>
    </rPh>
    <rPh sb="9" eb="11">
      <t>シサツ</t>
    </rPh>
    <phoneticPr fontId="1"/>
  </si>
  <si>
    <t>→8/4 or 7に完成させる</t>
    <rPh sb="10" eb="12">
      <t>カンセイ</t>
    </rPh>
    <phoneticPr fontId="1"/>
  </si>
  <si>
    <t>ライン仕様：時間ごとの実績、時間ごとの計画、1日の計画を表示</t>
    <rPh sb="3" eb="5">
      <t>シヨウ</t>
    </rPh>
    <rPh sb="6" eb="8">
      <t>ジカン</t>
    </rPh>
    <rPh sb="11" eb="13">
      <t>ジッセキ</t>
    </rPh>
    <rPh sb="14" eb="16">
      <t>ジカン</t>
    </rPh>
    <rPh sb="19" eb="21">
      <t>ケイカク</t>
    </rPh>
    <rPh sb="23" eb="24">
      <t>ニチ</t>
    </rPh>
    <rPh sb="25" eb="27">
      <t>ケイカク</t>
    </rPh>
    <rPh sb="28" eb="30">
      <t>ヒョウジ</t>
    </rPh>
    <phoneticPr fontId="1"/>
  </si>
  <si>
    <t>【凡例】</t>
    <rPh sb="1" eb="3">
      <t>ハンレイ</t>
    </rPh>
    <phoneticPr fontId="1"/>
  </si>
  <si>
    <t>◆稼働状態(ライン一覧)</t>
    <rPh sb="1" eb="5">
      <t>カドウジョウタイ</t>
    </rPh>
    <rPh sb="9" eb="11">
      <t>イチラン</t>
    </rPh>
    <phoneticPr fontId="1"/>
  </si>
  <si>
    <t>・色変更</t>
    <rPh sb="1" eb="2">
      <t>イロ</t>
    </rPh>
    <rPh sb="2" eb="4">
      <t>ヘンコウ</t>
    </rPh>
    <phoneticPr fontId="1"/>
  </si>
  <si>
    <t>0：薄い黄色</t>
    <rPh sb="2" eb="3">
      <t>ウス</t>
    </rPh>
    <rPh sb="4" eb="6">
      <t>キイロ</t>
    </rPh>
    <phoneticPr fontId="1"/>
  </si>
  <si>
    <t>4：薄い黄色</t>
    <phoneticPr fontId="1"/>
  </si>
  <si>
    <t>2023/7/26打合せ指摘事項</t>
    <rPh sb="9" eb="11">
      <t>ウチアワ</t>
    </rPh>
    <rPh sb="12" eb="16">
      <t>シテキジコウ</t>
    </rPh>
    <phoneticPr fontId="1"/>
  </si>
  <si>
    <t>・1日の単位を8時からにしたい</t>
    <rPh sb="2" eb="3">
      <t>ニチ</t>
    </rPh>
    <rPh sb="4" eb="6">
      <t>タンイ</t>
    </rPh>
    <rPh sb="8" eb="9">
      <t>ジ</t>
    </rPh>
    <phoneticPr fontId="1"/>
  </si>
  <si>
    <t>Stop_log開始時間→8:00:01-翌8:00:00までを1営業日とする</t>
    <rPh sb="8" eb="10">
      <t>カイシ</t>
    </rPh>
    <rPh sb="10" eb="12">
      <t>ジカン</t>
    </rPh>
    <rPh sb="21" eb="22">
      <t>ヨク</t>
    </rPh>
    <rPh sb="33" eb="36">
      <t>エイギョウビ</t>
    </rPh>
    <phoneticPr fontId="1"/>
  </si>
  <si>
    <t>・ライン毎に不良数追加（オブジェクトはカード、赤字で）</t>
    <rPh sb="4" eb="5">
      <t>ゴト</t>
    </rPh>
    <rPh sb="6" eb="9">
      <t>フリョウスウ</t>
    </rPh>
    <rPh sb="9" eb="11">
      <t>ツイカ</t>
    </rPh>
    <rPh sb="23" eb="25">
      <t>アカジ</t>
    </rPh>
    <phoneticPr fontId="1"/>
  </si>
  <si>
    <t>・稼働状態の幅を広く</t>
    <rPh sb="1" eb="5">
      <t>カドウジョウタイ</t>
    </rPh>
    <rPh sb="6" eb="7">
      <t>ハバ</t>
    </rPh>
    <rPh sb="8" eb="9">
      <t>ヒロ</t>
    </rPh>
    <phoneticPr fontId="1"/>
  </si>
  <si>
    <t>◆ライン詳細</t>
    <phoneticPr fontId="1"/>
  </si>
  <si>
    <t>1ライン1シート構成にし、オブジェクトにフィルターかける</t>
    <rPh sb="8" eb="10">
      <t>コウセイ</t>
    </rPh>
    <phoneticPr fontId="1"/>
  </si>
  <si>
    <t>1：緑（3と同じ色）</t>
    <rPh sb="2" eb="3">
      <t>ミドリ</t>
    </rPh>
    <rPh sb="6" eb="7">
      <t>オナ</t>
    </rPh>
    <rPh sb="8" eb="9">
      <t>イロ</t>
    </rPh>
    <phoneticPr fontId="1"/>
  </si>
  <si>
    <t>ログ</t>
    <phoneticPr fontId="1"/>
  </si>
  <si>
    <t>営業日</t>
    <rPh sb="0" eb="3">
      <t>エイギョウビ</t>
    </rPh>
    <phoneticPr fontId="1"/>
  </si>
  <si>
    <t>2023/07/07</t>
    <phoneticPr fontId="1"/>
  </si>
  <si>
    <t>2023/07/08</t>
    <phoneticPr fontId="1"/>
  </si>
  <si>
    <t>2023/07/28  8:00:00</t>
    <phoneticPr fontId="1"/>
  </si>
  <si>
    <t>2023/07/28  8:00:01</t>
    <phoneticPr fontId="1"/>
  </si>
  <si>
    <t>2023/07/29  8:00:00</t>
    <phoneticPr fontId="1"/>
  </si>
  <si>
    <t>#F6F35A</t>
    <phoneticPr fontId="1"/>
  </si>
  <si>
    <t>・データTB削除</t>
    <rPh sb="6" eb="8">
      <t>サクジョ</t>
    </rPh>
    <phoneticPr fontId="1"/>
  </si>
  <si>
    <t>・パターン1：日時をマイナス1時間にする</t>
    <rPh sb="7" eb="9">
      <t>ニチジ</t>
    </rPh>
    <rPh sb="15" eb="17">
      <t>ジカン</t>
    </rPh>
    <phoneticPr fontId="1"/>
  </si>
  <si>
    <t>・パターン2：パターン1 + 毎日の初回データ（hh:mm:01）を削除して表示</t>
    <rPh sb="15" eb="17">
      <t>マイニチ</t>
    </rPh>
    <rPh sb="18" eb="20">
      <t>ショカイ</t>
    </rPh>
    <rPh sb="34" eb="36">
      <t>サクジョ</t>
    </rPh>
    <rPh sb="38" eb="40">
      <t>ヒョウジ</t>
    </rPh>
    <phoneticPr fontId="1"/>
  </si>
  <si>
    <t>Nコード</t>
    <phoneticPr fontId="1"/>
  </si>
  <si>
    <t>ラインNo.</t>
    <phoneticPr fontId="1"/>
  </si>
  <si>
    <t xml:space="preserve">    追加されたカスタム = Table.AddColumn(</t>
    <phoneticPr fontId="1"/>
  </si>
  <si>
    <t>ConvertToTable</t>
    <phoneticPr fontId="1"/>
  </si>
  <si>
    <t>, "</t>
    <phoneticPr fontId="1"/>
  </si>
  <si>
    <t xml:space="preserve">    追加されたカスタム1 = Table.AddColumn(</t>
    <phoneticPr fontId="1"/>
  </si>
  <si>
    <t xml:space="preserve">    追加されたカスタム2 = Table.AddColumn(</t>
  </si>
  <si>
    <t xml:space="preserve">    追加されたカスタム3 = Table.AddColumn(</t>
  </si>
  <si>
    <t xml:space="preserve">    追加されたカスタム4 = Table.AddColumn(</t>
  </si>
  <si>
    <t xml:space="preserve">    追加されたカスタム5 = Table.AddColumn(</t>
  </si>
  <si>
    <t xml:space="preserve">    追加されたカスタム6 = Table.AddColumn(</t>
  </si>
  <si>
    <t xml:space="preserve">    追加されたカスタム7 = Table.AddColumn(</t>
  </si>
  <si>
    <t xml:space="preserve">    追加されたカスタム8 = Table.AddColumn(</t>
  </si>
  <si>
    <t xml:space="preserve">    追加されたカスタム9 = Table.AddColumn(</t>
  </si>
  <si>
    <t xml:space="preserve">    追加されたカスタム10 = Table.AddColumn(</t>
  </si>
  <si>
    <t xml:space="preserve">    追加されたカスタム11 = Table.AddColumn(</t>
  </si>
  <si>
    <t xml:space="preserve">    追加されたカスタム12 = Table.AddColumn(</t>
  </si>
  <si>
    <t xml:space="preserve">    追加されたカスタム13 = Table.AddColumn(</t>
  </si>
  <si>
    <t xml:space="preserve">    追加されたカスタム14 = Table.AddColumn(</t>
  </si>
  <si>
    <t xml:space="preserve">    追加されたカスタム15 = Table.AddColumn(</t>
  </si>
  <si>
    <t xml:space="preserve">    追加されたカスタム16 = Table.AddColumn(</t>
  </si>
  <si>
    <t xml:space="preserve">    追加されたカスタム17 = Table.AddColumn(</t>
  </si>
  <si>
    <t xml:space="preserve">    追加されたカスタム18 = Table.AddColumn(</t>
  </si>
  <si>
    <t xml:space="preserve">    追加されたカスタム19 = Table.AddColumn(</t>
  </si>
  <si>
    <t xml:space="preserve">    追加されたカスタム20 = Table.AddColumn(</t>
  </si>
  <si>
    <t xml:space="preserve">    追加されたカスタム21 = Table.AddColumn(</t>
  </si>
  <si>
    <t xml:space="preserve">    追加されたカスタム22 = Table.AddColumn(</t>
  </si>
  <si>
    <t xml:space="preserve">    追加されたカスタム23 = Table.AddColumn(</t>
  </si>
  <si>
    <t xml:space="preserve">    追加されたカスタム24 = Table.AddColumn(</t>
  </si>
  <si>
    <t xml:space="preserve">    追加されたカスタム25 = Table.AddColumn(</t>
  </si>
  <si>
    <t xml:space="preserve">    追加されたカスタム26 = Table.AddColumn(</t>
  </si>
  <si>
    <t xml:space="preserve">    追加されたカスタム27 = Table.AddColumn(</t>
  </si>
  <si>
    <t xml:space="preserve">    追加されたカスタム28 = Table.AddColumn(</t>
  </si>
  <si>
    <t xml:space="preserve">    追加されたカスタム29 = Table.AddColumn(</t>
  </si>
  <si>
    <t xml:space="preserve">    追加されたカスタム30 = Table.AddColumn(</t>
  </si>
  <si>
    <t xml:space="preserve">    追加されたカスタム31 = Table.AddColumn(</t>
  </si>
  <si>
    <t xml:space="preserve">    追加されたカスタム32 = Table.AddColumn(</t>
  </si>
  <si>
    <t xml:space="preserve">    追加されたカスタム33 = Table.AddColumn(</t>
  </si>
  <si>
    <t xml:space="preserve">    追加されたカスタム34 = Table.AddColumn(</t>
  </si>
  <si>
    <t xml:space="preserve">    追加されたカスタム35 = Table.AddColumn(</t>
  </si>
  <si>
    <t xml:space="preserve">    追加されたカスタム36 = Table.AddColumn(</t>
  </si>
  <si>
    <t xml:space="preserve">    追加されたカスタム37 = Table.AddColumn(</t>
  </si>
  <si>
    <t xml:space="preserve">    追加されたカスタム38 = Table.AddColumn(</t>
  </si>
  <si>
    <t xml:space="preserve">    追加されたカスタム39 = Table.AddColumn(</t>
  </si>
  <si>
    <t xml:space="preserve">    追加されたカスタム40 = Table.AddColumn(</t>
  </si>
  <si>
    <t xml:space="preserve">    追加されたカスタム41 = Table.AddColumn(</t>
  </si>
  <si>
    <t xml:space="preserve">    追加されたカスタム42 = Table.AddColumn(</t>
  </si>
  <si>
    <t xml:space="preserve">    追加されたカスタム43 = Table.AddColumn(</t>
  </si>
  <si>
    <t xml:space="preserve">    追加されたカスタム44 = Table.AddColumn(</t>
  </si>
  <si>
    <t xml:space="preserve">    追加されたカスタム45 = Table.AddColumn(</t>
  </si>
  <si>
    <t xml:space="preserve">    追加されたカスタム46 = Table.AddColumn(</t>
  </si>
  <si>
    <t xml:space="preserve">    追加されたカスタム47 = Table.AddColumn(</t>
  </si>
  <si>
    <t xml:space="preserve">    追加されたカスタム48 = Table.AddColumn(</t>
  </si>
  <si>
    <t xml:space="preserve">    追加されたカスタム49 = Table.AddColumn(</t>
  </si>
  <si>
    <t xml:space="preserve">    追加されたカスタム50 = Table.AddColumn(</t>
  </si>
  <si>
    <t>追加されたカスタム</t>
    <phoneticPr fontId="1"/>
  </si>
  <si>
    <t>追加されたカスタム2</t>
  </si>
  <si>
    <t>追加されたカスタム3</t>
  </si>
  <si>
    <t>追加されたカスタム4</t>
  </si>
  <si>
    <t>追加されたカスタム5</t>
  </si>
  <si>
    <t>追加されたカスタム6</t>
  </si>
  <si>
    <t>追加されたカスタム7</t>
  </si>
  <si>
    <t>追加されたカスタム8</t>
  </si>
  <si>
    <t>追加されたカスタム9</t>
  </si>
  <si>
    <t>追加されたカスタム10</t>
  </si>
  <si>
    <t>追加されたカスタム11</t>
  </si>
  <si>
    <t>追加されたカスタム12</t>
  </si>
  <si>
    <t>追加されたカスタム13</t>
  </si>
  <si>
    <t>追加されたカスタム14</t>
  </si>
  <si>
    <t>追加されたカスタム15</t>
  </si>
  <si>
    <t>追加されたカスタム1</t>
    <phoneticPr fontId="1"/>
  </si>
  <si>
    <t>追加されたカスタム16</t>
  </si>
  <si>
    <t>追加されたカスタム17</t>
  </si>
  <si>
    <t>追加されたカスタム18</t>
  </si>
  <si>
    <t>追加されたカスタム19</t>
  </si>
  <si>
    <t>追加されたカスタム20</t>
  </si>
  <si>
    <t>追加されたカスタム21</t>
  </si>
  <si>
    <t>追加されたカスタム22</t>
  </si>
  <si>
    <t>追加されたカスタム23</t>
  </si>
  <si>
    <t>追加されたカスタム24</t>
  </si>
  <si>
    <t>追加されたカスタム25</t>
  </si>
  <si>
    <t>追加されたカスタム26</t>
  </si>
  <si>
    <t>追加されたカスタム27</t>
  </si>
  <si>
    <t>追加されたカスタム28</t>
  </si>
  <si>
    <t>追加されたカスタム29</t>
  </si>
  <si>
    <t>追加されたカスタム30</t>
  </si>
  <si>
    <t>追加されたカスタム31</t>
  </si>
  <si>
    <t>追加されたカスタム32</t>
  </si>
  <si>
    <t>追加されたカスタム33</t>
  </si>
  <si>
    <t>追加されたカスタム34</t>
  </si>
  <si>
    <t>追加されたカスタム35</t>
  </si>
  <si>
    <t>追加されたカスタム36</t>
  </si>
  <si>
    <t>追加されたカスタム37</t>
  </si>
  <si>
    <t>追加されたカスタム38</t>
  </si>
  <si>
    <t>追加されたカスタム39</t>
  </si>
  <si>
    <t>追加されたカスタム40</t>
  </si>
  <si>
    <t>追加されたカスタム41</t>
  </si>
  <si>
    <t>追加されたカスタム42</t>
  </si>
  <si>
    <t>追加されたカスタム43</t>
  </si>
  <si>
    <t>追加されたカスタム44</t>
  </si>
  <si>
    <t>追加されたカスタム45</t>
  </si>
  <si>
    <t>追加されたカスタム46</t>
  </si>
  <si>
    <t>追加されたカスタム47</t>
  </si>
  <si>
    <t>追加されたカスタム48</t>
  </si>
  <si>
    <t>追加されたカスタム49</t>
  </si>
  <si>
    <t>", each 0),</t>
    <phoneticPr fontId="1"/>
  </si>
  <si>
    <t>2023/8/10打合せ指摘事項</t>
    <rPh sb="9" eb="11">
      <t>ウチアワ</t>
    </rPh>
    <rPh sb="12" eb="16">
      <t>シテキジコウ</t>
    </rPh>
    <phoneticPr fontId="1"/>
  </si>
  <si>
    <t>T不良数[個]</t>
    <phoneticPr fontId="1"/>
  </si>
  <si>
    <t>T不良率ppm</t>
    <phoneticPr fontId="1"/>
  </si>
  <si>
    <t>・ライン一覧(日報)：全ラインのサマリ値を表示</t>
    <rPh sb="4" eb="6">
      <t>イチラン</t>
    </rPh>
    <rPh sb="7" eb="9">
      <t>ニッポウ</t>
    </rPh>
    <rPh sb="11" eb="12">
      <t>ゼン</t>
    </rPh>
    <rPh sb="19" eb="20">
      <t>チ</t>
    </rPh>
    <rPh sb="21" eb="23">
      <t>ヒョウジ</t>
    </rPh>
    <phoneticPr fontId="1"/>
  </si>
  <si>
    <t>※特殊仕様：Plod_logの日時が時点データでその日の初回生産数は9時に入る。しかしそれだと8時の実績がないように見える為、ログの時間を-1時間して表示している</t>
    <rPh sb="1" eb="3">
      <t>トクシュ</t>
    </rPh>
    <rPh sb="3" eb="5">
      <t>シヨウ</t>
    </rPh>
    <rPh sb="15" eb="17">
      <t>ニチジ</t>
    </rPh>
    <rPh sb="18" eb="20">
      <t>ジテン</t>
    </rPh>
    <rPh sb="26" eb="27">
      <t>ヒ</t>
    </rPh>
    <rPh sb="28" eb="30">
      <t>ショカイ</t>
    </rPh>
    <rPh sb="30" eb="33">
      <t>セイサンスウ</t>
    </rPh>
    <rPh sb="35" eb="36">
      <t>ジ</t>
    </rPh>
    <rPh sb="37" eb="38">
      <t>ハイ</t>
    </rPh>
    <rPh sb="48" eb="49">
      <t>ジ</t>
    </rPh>
    <rPh sb="50" eb="52">
      <t>ジッセキ</t>
    </rPh>
    <rPh sb="58" eb="59">
      <t>ミ</t>
    </rPh>
    <rPh sb="61" eb="62">
      <t>タメ</t>
    </rPh>
    <rPh sb="66" eb="68">
      <t>ジカン</t>
    </rPh>
    <rPh sb="71" eb="73">
      <t>ジカン</t>
    </rPh>
    <rPh sb="75" eb="77">
      <t>ヒョウジ</t>
    </rPh>
    <phoneticPr fontId="1"/>
  </si>
  <si>
    <t>・ライン毎画面：各ライン毎の明細値を表示（見たいラインが決まっているのでラインでフィルターするのではなくライン毎にシート作成）</t>
    <rPh sb="4" eb="5">
      <t>ゴト</t>
    </rPh>
    <rPh sb="5" eb="7">
      <t>ガメン</t>
    </rPh>
    <rPh sb="8" eb="9">
      <t>カク</t>
    </rPh>
    <rPh sb="12" eb="13">
      <t>ゴト</t>
    </rPh>
    <rPh sb="14" eb="16">
      <t>メイサイ</t>
    </rPh>
    <rPh sb="16" eb="17">
      <t>チ</t>
    </rPh>
    <rPh sb="18" eb="20">
      <t>ヒョウジ</t>
    </rPh>
    <rPh sb="21" eb="22">
      <t>ミ</t>
    </rPh>
    <rPh sb="28" eb="29">
      <t>キ</t>
    </rPh>
    <rPh sb="55" eb="56">
      <t>ゴト</t>
    </rPh>
    <rPh sb="60" eb="62">
      <t>サクセイ</t>
    </rPh>
    <phoneticPr fontId="1"/>
  </si>
  <si>
    <t>全体フィルタ</t>
    <rPh sb="0" eb="2">
      <t>ゼンタイ</t>
    </rPh>
    <phoneticPr fontId="1"/>
  </si>
  <si>
    <t>Plod_log　1秒判定=0のみ（h:01は表示しない）</t>
    <rPh sb="10" eb="11">
      <t>ビョウ</t>
    </rPh>
    <rPh sb="11" eb="13">
      <t>ハンテイ</t>
    </rPh>
    <rPh sb="23" eb="25">
      <t>ヒョウジ</t>
    </rPh>
    <phoneticPr fontId="1"/>
  </si>
  <si>
    <t>Stop_log、Plod_log　各ラインのみ</t>
    <rPh sb="18" eb="19">
      <t>カク</t>
    </rPh>
    <phoneticPr fontId="1"/>
  </si>
  <si>
    <t>◆その他情報</t>
    <rPh sb="3" eb="4">
      <t>タ</t>
    </rPh>
    <rPh sb="4" eb="6">
      <t>ジョウホウ</t>
    </rPh>
    <phoneticPr fontId="1"/>
  </si>
  <si>
    <t>各工場ラインNo</t>
    <rPh sb="0" eb="1">
      <t>カク</t>
    </rPh>
    <rPh sb="1" eb="3">
      <t>コウジョウ</t>
    </rPh>
    <phoneticPr fontId="1"/>
  </si>
  <si>
    <t>宮古1GR</t>
    <rPh sb="0" eb="2">
      <t>ミヤコ</t>
    </rPh>
    <phoneticPr fontId="1"/>
  </si>
  <si>
    <t>10FH52-29</t>
  </si>
  <si>
    <t>10FH75-02</t>
  </si>
  <si>
    <t>10FH75-03</t>
  </si>
  <si>
    <t>10FH75-05</t>
  </si>
  <si>
    <t>10FH75-07</t>
  </si>
  <si>
    <t>10BM28DP23</t>
  </si>
  <si>
    <t>10BM28DS23</t>
  </si>
  <si>
    <t>10BM29DP15</t>
  </si>
  <si>
    <t>10BM29DS11</t>
  </si>
  <si>
    <t>宮古2GR</t>
    <rPh sb="0" eb="2">
      <t>ミヤコ</t>
    </rPh>
    <phoneticPr fontId="1"/>
  </si>
  <si>
    <t>10BM28DP39</t>
    <phoneticPr fontId="1"/>
  </si>
  <si>
    <t>10BM28DS11</t>
  </si>
  <si>
    <t>10FH52-09</t>
    <phoneticPr fontId="1"/>
  </si>
  <si>
    <t>協力会社</t>
    <rPh sb="0" eb="4">
      <t>キョウリョクガイシャ</t>
    </rPh>
    <phoneticPr fontId="1"/>
  </si>
  <si>
    <t>→Plod_logで実績があるがStop_logがないのでログを削除</t>
    <rPh sb="10" eb="12">
      <t>ジッセキ</t>
    </rPh>
    <rPh sb="32" eb="34">
      <t>サクジョ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</si>
</sst>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Yu Gothic"/>
      <family val="2"/>
      <scheme val="minor"/>
    </font>
    <font>
      <sz val="6"/>
      <name val="Yu Gothic"/>
      <family val="3"/>
      <charset val="128"/>
      <scheme val="minor"/>
    </font>
    <font>
      <u/>
      <sz val="11"/>
      <color theme="10"/>
      <name val="Yu Gothic"/>
      <family val="2"/>
      <scheme val="minor"/>
    </font>
    <font>
      <sz val="11"/>
      <color theme="1"/>
      <name val="Meiryo UI"/>
      <family val="3"/>
      <charset val="128"/>
    </font>
    <font>
      <sz val="11"/>
      <color theme="1"/>
      <name val="Microsoft JhengHei"/>
      <family val="2"/>
    </font>
    <font>
      <u/>
      <sz val="11"/>
      <color theme="10"/>
      <name val="Meiryo UI"/>
      <family val="3"/>
      <charset val="128"/>
    </font>
    <font>
      <sz val="11"/>
      <color rgb="FFFF0000"/>
      <name val="Meiryo UI"/>
      <family val="3"/>
      <charset val="128"/>
    </font>
    <font>
      <sz val="11"/>
      <color indexed="8"/>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249977111117893"/>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s>
  <cellStyleXfs count="2">
    <xf numFmtId="0" fontId="0" fillId="0" borderId="0"/>
    <xf numFmtId="0" fontId="2" fillId="0" borderId="0" applyNumberFormat="0" applyFill="0" applyBorder="0" applyAlignment="0" applyProtection="0"/>
  </cellStyleXfs>
  <cellXfs count="41">
    <xf numFmtId="0" fontId="0" fillId="0" borderId="0" xfId="0"/>
    <xf numFmtId="49" fontId="0" fillId="0" borderId="0" xfId="0" applyNumberFormat="1"/>
    <xf numFmtId="0" fontId="3" fillId="0" borderId="0" xfId="0" applyFont="1"/>
    <xf numFmtId="0" fontId="3" fillId="0" borderId="1" xfId="0" applyFont="1" applyBorder="1"/>
    <xf numFmtId="0" fontId="3" fillId="0" borderId="2" xfId="0" applyFont="1" applyBorder="1"/>
    <xf numFmtId="0" fontId="0" fillId="0" borderId="3" xfId="0" applyBorder="1"/>
    <xf numFmtId="0" fontId="5" fillId="0" borderId="0" xfId="1" applyFont="1"/>
    <xf numFmtId="0" fontId="3" fillId="2" borderId="1" xfId="0" applyFont="1" applyFill="1" applyBorder="1"/>
    <xf numFmtId="0" fontId="3" fillId="2" borderId="2" xfId="0" applyFont="1" applyFill="1" applyBorder="1"/>
    <xf numFmtId="0" fontId="3" fillId="2" borderId="4" xfId="0" applyFont="1" applyFill="1" applyBorder="1"/>
    <xf numFmtId="0" fontId="3" fillId="0" borderId="4" xfId="0" applyFont="1" applyBorder="1"/>
    <xf numFmtId="0" fontId="0" fillId="0" borderId="3" xfId="0" applyBorder="1" applyAlignment="1">
      <alignment wrapText="1"/>
    </xf>
    <xf numFmtId="0" fontId="0" fillId="2" borderId="3" xfId="0" applyFill="1" applyBorder="1"/>
    <xf numFmtId="0" fontId="6" fillId="0" borderId="0" xfId="0" applyFont="1"/>
    <xf numFmtId="49" fontId="0" fillId="3" borderId="0" xfId="0" applyNumberFormat="1" applyFill="1"/>
    <xf numFmtId="0" fontId="3" fillId="0" borderId="0" xfId="0" applyFont="1" applyAlignment="1">
      <alignment horizontal="left"/>
    </xf>
    <xf numFmtId="21" fontId="3" fillId="0" borderId="0" xfId="0" applyNumberFormat="1" applyFont="1"/>
    <xf numFmtId="22" fontId="3" fillId="0" borderId="0" xfId="0" quotePrefix="1" applyNumberFormat="1" applyFont="1"/>
    <xf numFmtId="14" fontId="3" fillId="0" borderId="0" xfId="0" quotePrefix="1" applyNumberFormat="1" applyFont="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3" fillId="2" borderId="10" xfId="0" applyFont="1" applyFill="1" applyBorder="1"/>
    <xf numFmtId="0" fontId="7" fillId="0" borderId="1" xfId="0" applyFont="1" applyBorder="1"/>
    <xf numFmtId="0" fontId="3" fillId="4" borderId="1" xfId="0" applyFont="1" applyFill="1" applyBorder="1"/>
    <xf numFmtId="0" fontId="3" fillId="4" borderId="2" xfId="0" applyFont="1" applyFill="1" applyBorder="1"/>
    <xf numFmtId="0" fontId="3" fillId="4" borderId="4" xfId="0" applyFont="1" applyFill="1" applyBorder="1"/>
    <xf numFmtId="0" fontId="3" fillId="0" borderId="5" xfId="0" applyFont="1" applyBorder="1"/>
    <xf numFmtId="0" fontId="3" fillId="0" borderId="6" xfId="0" applyFont="1" applyBorder="1"/>
    <xf numFmtId="0" fontId="3" fillId="0" borderId="7" xfId="0" applyFont="1" applyBorder="1"/>
    <xf numFmtId="0" fontId="7" fillId="0" borderId="5" xfId="0" applyFont="1" applyBorder="1"/>
    <xf numFmtId="0" fontId="3" fillId="0" borderId="11" xfId="0" applyFont="1" applyBorder="1"/>
    <xf numFmtId="0" fontId="3" fillId="0" borderId="12" xfId="0" applyFont="1" applyBorder="1"/>
    <xf numFmtId="0" fontId="3" fillId="0" borderId="13" xfId="0" applyFont="1" applyBorder="1"/>
    <xf numFmtId="0" fontId="7" fillId="0" borderId="11" xfId="0" applyFont="1" applyBorder="1"/>
    <xf numFmtId="0" fontId="3" fillId="5" borderId="1" xfId="0" applyFont="1" applyFill="1" applyBorder="1"/>
    <xf numFmtId="0" fontId="3" fillId="5" borderId="2" xfId="0" applyFont="1" applyFill="1" applyBorder="1"/>
    <xf numFmtId="0" fontId="3" fillId="5" borderId="4" xfId="0" applyFont="1" applyFill="1" applyBorder="1"/>
    <xf numFmtId="0" fontId="7" fillId="5" borderId="1" xfId="0" applyFont="1" applyFill="1" applyBorder="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197826</xdr:rowOff>
    </xdr:from>
    <xdr:to>
      <xdr:col>25</xdr:col>
      <xdr:colOff>73327</xdr:colOff>
      <xdr:row>20</xdr:row>
      <xdr:rowOff>118954</xdr:rowOff>
    </xdr:to>
    <xdr:pic>
      <xdr:nvPicPr>
        <xdr:cNvPr id="15" name="図 14">
          <a:extLst>
            <a:ext uri="{FF2B5EF4-FFF2-40B4-BE49-F238E27FC236}">
              <a16:creationId xmlns:a16="http://schemas.microsoft.com/office/drawing/2014/main" id="{D3E33705-D6DB-8B92-9257-C5AC6DE23B16}"/>
            </a:ext>
          </a:extLst>
        </xdr:cNvPr>
        <xdr:cNvPicPr>
          <a:picLocks noChangeAspect="1"/>
        </xdr:cNvPicPr>
      </xdr:nvPicPr>
      <xdr:blipFill>
        <a:blip xmlns:r="http://schemas.openxmlformats.org/officeDocument/2006/relationships" r:embed="rId1"/>
        <a:stretch>
          <a:fillRect/>
        </a:stretch>
      </xdr:blipFill>
      <xdr:spPr>
        <a:xfrm>
          <a:off x="725365" y="1384788"/>
          <a:ext cx="5400000" cy="3482012"/>
        </a:xfrm>
        <a:prstGeom prst="rect">
          <a:avLst/>
        </a:prstGeom>
      </xdr:spPr>
    </xdr:pic>
    <xdr:clientData/>
  </xdr:twoCellAnchor>
  <xdr:twoCellAnchor editAs="oneCell">
    <xdr:from>
      <xdr:col>3</xdr:col>
      <xdr:colOff>0</xdr:colOff>
      <xdr:row>26</xdr:row>
      <xdr:rowOff>0</xdr:rowOff>
    </xdr:from>
    <xdr:to>
      <xdr:col>25</xdr:col>
      <xdr:colOff>73327</xdr:colOff>
      <xdr:row>43</xdr:row>
      <xdr:rowOff>149151</xdr:rowOff>
    </xdr:to>
    <xdr:pic>
      <xdr:nvPicPr>
        <xdr:cNvPr id="16" name="図 15">
          <a:extLst>
            <a:ext uri="{FF2B5EF4-FFF2-40B4-BE49-F238E27FC236}">
              <a16:creationId xmlns:a16="http://schemas.microsoft.com/office/drawing/2014/main" id="{885EB784-1355-53CE-531C-CA4D23D74DD3}"/>
            </a:ext>
          </a:extLst>
        </xdr:cNvPr>
        <xdr:cNvPicPr>
          <a:picLocks noChangeAspect="1"/>
        </xdr:cNvPicPr>
      </xdr:nvPicPr>
      <xdr:blipFill>
        <a:blip xmlns:r="http://schemas.openxmlformats.org/officeDocument/2006/relationships" r:embed="rId2"/>
        <a:stretch>
          <a:fillRect/>
        </a:stretch>
      </xdr:blipFill>
      <xdr:spPr>
        <a:xfrm>
          <a:off x="725365" y="4945673"/>
          <a:ext cx="5400000" cy="3506494"/>
        </a:xfrm>
        <a:prstGeom prst="rect">
          <a:avLst/>
        </a:prstGeom>
      </xdr:spPr>
    </xdr:pic>
    <xdr:clientData/>
  </xdr:twoCellAnchor>
  <xdr:twoCellAnchor>
    <xdr:from>
      <xdr:col>25</xdr:col>
      <xdr:colOff>227135</xdr:colOff>
      <xdr:row>5</xdr:row>
      <xdr:rowOff>153865</xdr:rowOff>
    </xdr:from>
    <xdr:to>
      <xdr:col>28</xdr:col>
      <xdr:colOff>190500</xdr:colOff>
      <xdr:row>7</xdr:row>
      <xdr:rowOff>7327</xdr:rowOff>
    </xdr:to>
    <xdr:sp macro="" textlink="">
      <xdr:nvSpPr>
        <xdr:cNvPr id="17" name="吹き出し: 四角形 16">
          <a:extLst>
            <a:ext uri="{FF2B5EF4-FFF2-40B4-BE49-F238E27FC236}">
              <a16:creationId xmlns:a16="http://schemas.microsoft.com/office/drawing/2014/main" id="{F03593F1-E975-9D7E-902C-A554CB6D99C8}"/>
            </a:ext>
          </a:extLst>
        </xdr:cNvPr>
        <xdr:cNvSpPr/>
      </xdr:nvSpPr>
      <xdr:spPr>
        <a:xfrm>
          <a:off x="6279173" y="1143000"/>
          <a:ext cx="688731" cy="249115"/>
        </a:xfrm>
        <a:prstGeom prst="wedgeRectCallout">
          <a:avLst>
            <a:gd name="adj1" fmla="val -84487"/>
            <a:gd name="adj2" fmla="val -2135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800">
              <a:latin typeface="Meiryo UI" panose="020B0604030504040204" pitchFamily="50" charset="-128"/>
              <a:ea typeface="Meiryo UI" panose="020B0604030504040204" pitchFamily="50" charset="-128"/>
            </a:rPr>
            <a:t>Stop_log</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25</xdr:col>
      <xdr:colOff>190500</xdr:colOff>
      <xdr:row>11</xdr:row>
      <xdr:rowOff>14653</xdr:rowOff>
    </xdr:from>
    <xdr:to>
      <xdr:col>33</xdr:col>
      <xdr:colOff>21980</xdr:colOff>
      <xdr:row>13</xdr:row>
      <xdr:rowOff>58615</xdr:rowOff>
    </xdr:to>
    <xdr:sp macro="" textlink="">
      <xdr:nvSpPr>
        <xdr:cNvPr id="18" name="吹き出し: 四角形 17">
          <a:extLst>
            <a:ext uri="{FF2B5EF4-FFF2-40B4-BE49-F238E27FC236}">
              <a16:creationId xmlns:a16="http://schemas.microsoft.com/office/drawing/2014/main" id="{E00758EF-DFDE-DC42-2B5B-447CAC2A55AF}"/>
            </a:ext>
          </a:extLst>
        </xdr:cNvPr>
        <xdr:cNvSpPr/>
      </xdr:nvSpPr>
      <xdr:spPr>
        <a:xfrm>
          <a:off x="6242538" y="2190749"/>
          <a:ext cx="1765788" cy="439616"/>
        </a:xfrm>
        <a:prstGeom prst="wedgeRectCallout">
          <a:avLst>
            <a:gd name="adj1" fmla="val -66645"/>
            <a:gd name="adj2" fmla="val -2135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800">
              <a:latin typeface="Meiryo UI" panose="020B0604030504040204" pitchFamily="50" charset="-128"/>
              <a:ea typeface="Meiryo UI" panose="020B0604030504040204" pitchFamily="50" charset="-128"/>
            </a:rPr>
            <a:t>Plod_log</a:t>
          </a:r>
        </a:p>
        <a:p>
          <a:pPr algn="l"/>
          <a:r>
            <a:rPr kumimoji="1" lang="ja-JP" altLang="en-US" sz="800">
              <a:latin typeface="Meiryo UI" panose="020B0604030504040204" pitchFamily="50" charset="-128"/>
              <a:ea typeface="Meiryo UI" panose="020B0604030504040204" pitchFamily="50" charset="-128"/>
            </a:rPr>
            <a:t>その日の最大値</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最新の値</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を表示</a:t>
          </a:r>
        </a:p>
      </xdr:txBody>
    </xdr:sp>
    <xdr:clientData/>
  </xdr:twoCellAnchor>
  <xdr:twoCellAnchor>
    <xdr:from>
      <xdr:col>25</xdr:col>
      <xdr:colOff>109904</xdr:colOff>
      <xdr:row>35</xdr:row>
      <xdr:rowOff>7326</xdr:rowOff>
    </xdr:from>
    <xdr:to>
      <xdr:col>28</xdr:col>
      <xdr:colOff>73269</xdr:colOff>
      <xdr:row>36</xdr:row>
      <xdr:rowOff>58615</xdr:rowOff>
    </xdr:to>
    <xdr:sp macro="" textlink="">
      <xdr:nvSpPr>
        <xdr:cNvPr id="21" name="吹き出し: 四角形 20">
          <a:extLst>
            <a:ext uri="{FF2B5EF4-FFF2-40B4-BE49-F238E27FC236}">
              <a16:creationId xmlns:a16="http://schemas.microsoft.com/office/drawing/2014/main" id="{2748D359-D356-74E2-3E06-F56BFBE5CF48}"/>
            </a:ext>
          </a:extLst>
        </xdr:cNvPr>
        <xdr:cNvSpPr/>
      </xdr:nvSpPr>
      <xdr:spPr>
        <a:xfrm>
          <a:off x="6161942" y="6931268"/>
          <a:ext cx="688731" cy="249116"/>
        </a:xfrm>
        <a:prstGeom prst="wedgeRectCallout">
          <a:avLst>
            <a:gd name="adj1" fmla="val -84487"/>
            <a:gd name="adj2" fmla="val -2135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800">
              <a:latin typeface="Meiryo UI" panose="020B0604030504040204" pitchFamily="50" charset="-128"/>
              <a:ea typeface="Meiryo UI" panose="020B0604030504040204" pitchFamily="50" charset="-128"/>
            </a:rPr>
            <a:t>Plod_log</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25</xdr:col>
      <xdr:colOff>36635</xdr:colOff>
      <xdr:row>38</xdr:row>
      <xdr:rowOff>161191</xdr:rowOff>
    </xdr:from>
    <xdr:to>
      <xdr:col>28</xdr:col>
      <xdr:colOff>0</xdr:colOff>
      <xdr:row>40</xdr:row>
      <xdr:rowOff>14653</xdr:rowOff>
    </xdr:to>
    <xdr:sp macro="" textlink="">
      <xdr:nvSpPr>
        <xdr:cNvPr id="22" name="吹き出し: 四角形 21">
          <a:extLst>
            <a:ext uri="{FF2B5EF4-FFF2-40B4-BE49-F238E27FC236}">
              <a16:creationId xmlns:a16="http://schemas.microsoft.com/office/drawing/2014/main" id="{BD1FB413-EBCF-AEEB-8F45-37688A57AAA0}"/>
            </a:ext>
          </a:extLst>
        </xdr:cNvPr>
        <xdr:cNvSpPr/>
      </xdr:nvSpPr>
      <xdr:spPr>
        <a:xfrm>
          <a:off x="6088673" y="7678614"/>
          <a:ext cx="688731" cy="249116"/>
        </a:xfrm>
        <a:prstGeom prst="wedgeRectCallout">
          <a:avLst>
            <a:gd name="adj1" fmla="val -84487"/>
            <a:gd name="adj2" fmla="val -2135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800">
              <a:latin typeface="Meiryo UI" panose="020B0604030504040204" pitchFamily="50" charset="-128"/>
              <a:ea typeface="Meiryo UI" panose="020B0604030504040204" pitchFamily="50" charset="-128"/>
            </a:rPr>
            <a:t>Plod_log</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16</xdr:col>
      <xdr:colOff>43962</xdr:colOff>
      <xdr:row>41</xdr:row>
      <xdr:rowOff>95248</xdr:rowOff>
    </xdr:from>
    <xdr:to>
      <xdr:col>19</xdr:col>
      <xdr:colOff>7327</xdr:colOff>
      <xdr:row>42</xdr:row>
      <xdr:rowOff>146537</xdr:rowOff>
    </xdr:to>
    <xdr:sp macro="" textlink="">
      <xdr:nvSpPr>
        <xdr:cNvPr id="23" name="吹き出し: 四角形 22">
          <a:extLst>
            <a:ext uri="{FF2B5EF4-FFF2-40B4-BE49-F238E27FC236}">
              <a16:creationId xmlns:a16="http://schemas.microsoft.com/office/drawing/2014/main" id="{C4CFAB50-123E-32D2-AACB-25BF90175C08}"/>
            </a:ext>
          </a:extLst>
        </xdr:cNvPr>
        <xdr:cNvSpPr/>
      </xdr:nvSpPr>
      <xdr:spPr>
        <a:xfrm>
          <a:off x="3919904" y="8206152"/>
          <a:ext cx="688731" cy="249116"/>
        </a:xfrm>
        <a:prstGeom prst="wedgeRectCallout">
          <a:avLst>
            <a:gd name="adj1" fmla="val -49381"/>
            <a:gd name="adj2" fmla="val -89005"/>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800">
              <a:latin typeface="Meiryo UI" panose="020B0604030504040204" pitchFamily="50" charset="-128"/>
              <a:ea typeface="Meiryo UI" panose="020B0604030504040204" pitchFamily="50" charset="-128"/>
            </a:rPr>
            <a:t>Plod_log</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25</xdr:col>
      <xdr:colOff>153866</xdr:colOff>
      <xdr:row>28</xdr:row>
      <xdr:rowOff>131884</xdr:rowOff>
    </xdr:from>
    <xdr:to>
      <xdr:col>28</xdr:col>
      <xdr:colOff>117231</xdr:colOff>
      <xdr:row>29</xdr:row>
      <xdr:rowOff>183173</xdr:rowOff>
    </xdr:to>
    <xdr:sp macro="" textlink="">
      <xdr:nvSpPr>
        <xdr:cNvPr id="24" name="吹き出し: 四角形 23">
          <a:extLst>
            <a:ext uri="{FF2B5EF4-FFF2-40B4-BE49-F238E27FC236}">
              <a16:creationId xmlns:a16="http://schemas.microsoft.com/office/drawing/2014/main" id="{DCA525B4-6299-BD56-DF3A-C52E28B6B3F8}"/>
            </a:ext>
          </a:extLst>
        </xdr:cNvPr>
        <xdr:cNvSpPr/>
      </xdr:nvSpPr>
      <xdr:spPr>
        <a:xfrm>
          <a:off x="6205904" y="5671038"/>
          <a:ext cx="688731" cy="249116"/>
        </a:xfrm>
        <a:prstGeom prst="wedgeRectCallout">
          <a:avLst>
            <a:gd name="adj1" fmla="val -84487"/>
            <a:gd name="adj2" fmla="val -2135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800">
              <a:latin typeface="Meiryo UI" panose="020B0604030504040204" pitchFamily="50" charset="-128"/>
              <a:ea typeface="Meiryo UI" panose="020B0604030504040204" pitchFamily="50" charset="-128"/>
            </a:rPr>
            <a:t>Stop_log</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0</xdr:col>
      <xdr:colOff>197827</xdr:colOff>
      <xdr:row>9</xdr:row>
      <xdr:rowOff>80595</xdr:rowOff>
    </xdr:from>
    <xdr:to>
      <xdr:col>4</xdr:col>
      <xdr:colOff>183173</xdr:colOff>
      <xdr:row>10</xdr:row>
      <xdr:rowOff>131884</xdr:rowOff>
    </xdr:to>
    <xdr:sp macro="" textlink="">
      <xdr:nvSpPr>
        <xdr:cNvPr id="25" name="吹き出し: 四角形 24">
          <a:extLst>
            <a:ext uri="{FF2B5EF4-FFF2-40B4-BE49-F238E27FC236}">
              <a16:creationId xmlns:a16="http://schemas.microsoft.com/office/drawing/2014/main" id="{8F1898F9-21EF-2808-2EFB-A218FE11F656}"/>
            </a:ext>
          </a:extLst>
        </xdr:cNvPr>
        <xdr:cNvSpPr/>
      </xdr:nvSpPr>
      <xdr:spPr>
        <a:xfrm>
          <a:off x="197827" y="2652345"/>
          <a:ext cx="959827" cy="249116"/>
        </a:xfrm>
        <a:prstGeom prst="wedgeRectCallout">
          <a:avLst>
            <a:gd name="adj1" fmla="val 43912"/>
            <a:gd name="adj2" fmla="val -112534"/>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800">
              <a:latin typeface="Meiryo UI" panose="020B0604030504040204" pitchFamily="50" charset="-128"/>
              <a:ea typeface="Meiryo UI" panose="020B0604030504040204" pitchFamily="50" charset="-128"/>
            </a:rPr>
            <a:t>mst_calender</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25</xdr:col>
      <xdr:colOff>109904</xdr:colOff>
      <xdr:row>32</xdr:row>
      <xdr:rowOff>58614</xdr:rowOff>
    </xdr:from>
    <xdr:to>
      <xdr:col>28</xdr:col>
      <xdr:colOff>73269</xdr:colOff>
      <xdr:row>33</xdr:row>
      <xdr:rowOff>109903</xdr:rowOff>
    </xdr:to>
    <xdr:sp macro="" textlink="">
      <xdr:nvSpPr>
        <xdr:cNvPr id="26" name="吹き出し: 四角形 25">
          <a:extLst>
            <a:ext uri="{FF2B5EF4-FFF2-40B4-BE49-F238E27FC236}">
              <a16:creationId xmlns:a16="http://schemas.microsoft.com/office/drawing/2014/main" id="{EA3391E1-DBD4-E0E3-9B4A-4EAE28CDD2DE}"/>
            </a:ext>
          </a:extLst>
        </xdr:cNvPr>
        <xdr:cNvSpPr/>
      </xdr:nvSpPr>
      <xdr:spPr>
        <a:xfrm>
          <a:off x="6161942" y="6586902"/>
          <a:ext cx="688731" cy="249116"/>
        </a:xfrm>
        <a:prstGeom prst="wedgeRectCallout">
          <a:avLst>
            <a:gd name="adj1" fmla="val -84487"/>
            <a:gd name="adj2" fmla="val -2135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800">
              <a:latin typeface="Meiryo UI" panose="020B0604030504040204" pitchFamily="50" charset="-128"/>
              <a:ea typeface="Meiryo UI" panose="020B0604030504040204" pitchFamily="50" charset="-128"/>
            </a:rPr>
            <a:t>Plod_log</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3</xdr:col>
      <xdr:colOff>14654</xdr:colOff>
      <xdr:row>4</xdr:row>
      <xdr:rowOff>21980</xdr:rowOff>
    </xdr:from>
    <xdr:to>
      <xdr:col>7</xdr:col>
      <xdr:colOff>51289</xdr:colOff>
      <xdr:row>8</xdr:row>
      <xdr:rowOff>168520</xdr:rowOff>
    </xdr:to>
    <xdr:sp macro="" textlink="">
      <xdr:nvSpPr>
        <xdr:cNvPr id="2" name="正方形/長方形 1">
          <a:extLst>
            <a:ext uri="{FF2B5EF4-FFF2-40B4-BE49-F238E27FC236}">
              <a16:creationId xmlns:a16="http://schemas.microsoft.com/office/drawing/2014/main" id="{E5E0E168-E0DD-4ED0-27C8-38BE24EA68C5}"/>
            </a:ext>
          </a:extLst>
        </xdr:cNvPr>
        <xdr:cNvSpPr/>
      </xdr:nvSpPr>
      <xdr:spPr>
        <a:xfrm>
          <a:off x="740019" y="813288"/>
          <a:ext cx="1011116" cy="93784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87923</xdr:colOff>
      <xdr:row>4</xdr:row>
      <xdr:rowOff>7326</xdr:rowOff>
    </xdr:from>
    <xdr:to>
      <xdr:col>25</xdr:col>
      <xdr:colOff>65943</xdr:colOff>
      <xdr:row>9</xdr:row>
      <xdr:rowOff>65943</xdr:rowOff>
    </xdr:to>
    <xdr:sp macro="" textlink="">
      <xdr:nvSpPr>
        <xdr:cNvPr id="3" name="正方形/長方形 2">
          <a:extLst>
            <a:ext uri="{FF2B5EF4-FFF2-40B4-BE49-F238E27FC236}">
              <a16:creationId xmlns:a16="http://schemas.microsoft.com/office/drawing/2014/main" id="{BCED070E-073B-9010-3F12-130ED12577CE}"/>
            </a:ext>
          </a:extLst>
        </xdr:cNvPr>
        <xdr:cNvSpPr/>
      </xdr:nvSpPr>
      <xdr:spPr>
        <a:xfrm>
          <a:off x="1787769" y="798634"/>
          <a:ext cx="4330212" cy="10477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87923</xdr:colOff>
      <xdr:row>9</xdr:row>
      <xdr:rowOff>95250</xdr:rowOff>
    </xdr:from>
    <xdr:to>
      <xdr:col>25</xdr:col>
      <xdr:colOff>65943</xdr:colOff>
      <xdr:row>18</xdr:row>
      <xdr:rowOff>102577</xdr:rowOff>
    </xdr:to>
    <xdr:sp macro="" textlink="">
      <xdr:nvSpPr>
        <xdr:cNvPr id="4" name="正方形/長方形 3">
          <a:extLst>
            <a:ext uri="{FF2B5EF4-FFF2-40B4-BE49-F238E27FC236}">
              <a16:creationId xmlns:a16="http://schemas.microsoft.com/office/drawing/2014/main" id="{089BDCBA-8FCD-940E-9B48-DFA2EC4B60EB}"/>
            </a:ext>
          </a:extLst>
        </xdr:cNvPr>
        <xdr:cNvSpPr/>
      </xdr:nvSpPr>
      <xdr:spPr>
        <a:xfrm>
          <a:off x="1787769" y="1875692"/>
          <a:ext cx="4330212" cy="178777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6</xdr:row>
      <xdr:rowOff>0</xdr:rowOff>
    </xdr:from>
    <xdr:to>
      <xdr:col>33</xdr:col>
      <xdr:colOff>240476</xdr:colOff>
      <xdr:row>25</xdr:row>
      <xdr:rowOff>181732</xdr:rowOff>
    </xdr:to>
    <xdr:grpSp>
      <xdr:nvGrpSpPr>
        <xdr:cNvPr id="22" name="グループ化 21">
          <a:extLst>
            <a:ext uri="{FF2B5EF4-FFF2-40B4-BE49-F238E27FC236}">
              <a16:creationId xmlns:a16="http://schemas.microsoft.com/office/drawing/2014/main" id="{E296898B-37E0-7E9C-246C-50A3EABB442C}"/>
            </a:ext>
          </a:extLst>
        </xdr:cNvPr>
        <xdr:cNvGrpSpPr/>
      </xdr:nvGrpSpPr>
      <xdr:grpSpPr>
        <a:xfrm>
          <a:off x="483577" y="1186962"/>
          <a:ext cx="7743245" cy="3940443"/>
          <a:chOff x="229914" y="9099281"/>
          <a:chExt cx="7735918" cy="3940443"/>
        </a:xfrm>
      </xdr:grpSpPr>
      <xdr:pic>
        <xdr:nvPicPr>
          <xdr:cNvPr id="24" name="図 23">
            <a:extLst>
              <a:ext uri="{FF2B5EF4-FFF2-40B4-BE49-F238E27FC236}">
                <a16:creationId xmlns:a16="http://schemas.microsoft.com/office/drawing/2014/main" id="{0779F455-1C4C-F7B8-25A9-4FEF341B2B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1788" y="9099281"/>
            <a:ext cx="7724044" cy="394044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 name="図 24">
            <a:extLst>
              <a:ext uri="{FF2B5EF4-FFF2-40B4-BE49-F238E27FC236}">
                <a16:creationId xmlns:a16="http://schemas.microsoft.com/office/drawing/2014/main" id="{7C73F7C0-BD77-A378-4805-27B38B4867D7}"/>
              </a:ext>
            </a:extLst>
          </xdr:cNvPr>
          <xdr:cNvPicPr>
            <a:picLocks noChangeAspect="1"/>
          </xdr:cNvPicPr>
        </xdr:nvPicPr>
        <xdr:blipFill>
          <a:blip xmlns:r="http://schemas.openxmlformats.org/officeDocument/2006/relationships" r:embed="rId2"/>
          <a:stretch>
            <a:fillRect/>
          </a:stretch>
        </xdr:blipFill>
        <xdr:spPr>
          <a:xfrm>
            <a:off x="300907" y="9782150"/>
            <a:ext cx="3235217" cy="768837"/>
          </a:xfrm>
          <a:prstGeom prst="rect">
            <a:avLst/>
          </a:prstGeom>
        </xdr:spPr>
      </xdr:pic>
      <xdr:pic>
        <xdr:nvPicPr>
          <xdr:cNvPr id="26" name="図 25">
            <a:extLst>
              <a:ext uri="{FF2B5EF4-FFF2-40B4-BE49-F238E27FC236}">
                <a16:creationId xmlns:a16="http://schemas.microsoft.com/office/drawing/2014/main" id="{9B45B7D7-5267-5721-287E-BFFC883B209A}"/>
              </a:ext>
            </a:extLst>
          </xdr:cNvPr>
          <xdr:cNvPicPr>
            <a:picLocks noChangeAspect="1"/>
          </xdr:cNvPicPr>
        </xdr:nvPicPr>
        <xdr:blipFill>
          <a:blip xmlns:r="http://schemas.openxmlformats.org/officeDocument/2006/relationships" r:embed="rId3"/>
          <a:stretch>
            <a:fillRect/>
          </a:stretch>
        </xdr:blipFill>
        <xdr:spPr>
          <a:xfrm>
            <a:off x="340322" y="10787758"/>
            <a:ext cx="685730" cy="421930"/>
          </a:xfrm>
          <a:prstGeom prst="rect">
            <a:avLst/>
          </a:prstGeom>
        </xdr:spPr>
      </xdr:pic>
      <xdr:sp macro="" textlink="">
        <xdr:nvSpPr>
          <xdr:cNvPr id="27" name="テキスト ボックス 26">
            <a:extLst>
              <a:ext uri="{FF2B5EF4-FFF2-40B4-BE49-F238E27FC236}">
                <a16:creationId xmlns:a16="http://schemas.microsoft.com/office/drawing/2014/main" id="{DD262D68-4BB8-93E1-4DDB-19701842E032}"/>
              </a:ext>
            </a:extLst>
          </xdr:cNvPr>
          <xdr:cNvSpPr txBox="1"/>
        </xdr:nvSpPr>
        <xdr:spPr>
          <a:xfrm>
            <a:off x="229914" y="10530810"/>
            <a:ext cx="1312782" cy="256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各ラインの計画と実績</a:t>
            </a:r>
          </a:p>
        </xdr:txBody>
      </xdr:sp>
      <xdr:pic>
        <xdr:nvPicPr>
          <xdr:cNvPr id="28" name="図 27">
            <a:extLst>
              <a:ext uri="{FF2B5EF4-FFF2-40B4-BE49-F238E27FC236}">
                <a16:creationId xmlns:a16="http://schemas.microsoft.com/office/drawing/2014/main" id="{100CF9BF-1A7F-EE4C-F10E-6AFD02DD1082}"/>
              </a:ext>
            </a:extLst>
          </xdr:cNvPr>
          <xdr:cNvPicPr>
            <a:picLocks noChangeAspect="1"/>
          </xdr:cNvPicPr>
        </xdr:nvPicPr>
        <xdr:blipFill>
          <a:blip xmlns:r="http://schemas.openxmlformats.org/officeDocument/2006/relationships" r:embed="rId3"/>
          <a:stretch>
            <a:fillRect/>
          </a:stretch>
        </xdr:blipFill>
        <xdr:spPr>
          <a:xfrm>
            <a:off x="1208942" y="10787758"/>
            <a:ext cx="680424" cy="421930"/>
          </a:xfrm>
          <a:prstGeom prst="rect">
            <a:avLst/>
          </a:prstGeom>
        </xdr:spPr>
      </xdr:pic>
      <xdr:pic>
        <xdr:nvPicPr>
          <xdr:cNvPr id="29" name="図 28">
            <a:extLst>
              <a:ext uri="{FF2B5EF4-FFF2-40B4-BE49-F238E27FC236}">
                <a16:creationId xmlns:a16="http://schemas.microsoft.com/office/drawing/2014/main" id="{623F1533-6795-ACCD-0F18-9CB1884B62E5}"/>
              </a:ext>
            </a:extLst>
          </xdr:cNvPr>
          <xdr:cNvPicPr>
            <a:picLocks noChangeAspect="1"/>
          </xdr:cNvPicPr>
        </xdr:nvPicPr>
        <xdr:blipFill>
          <a:blip xmlns:r="http://schemas.openxmlformats.org/officeDocument/2006/relationships" r:embed="rId3"/>
          <a:stretch>
            <a:fillRect/>
          </a:stretch>
        </xdr:blipFill>
        <xdr:spPr>
          <a:xfrm>
            <a:off x="2085394" y="10787758"/>
            <a:ext cx="685729" cy="421930"/>
          </a:xfrm>
          <a:prstGeom prst="rect">
            <a:avLst/>
          </a:prstGeom>
        </xdr:spPr>
      </xdr:pic>
      <xdr:pic>
        <xdr:nvPicPr>
          <xdr:cNvPr id="30" name="図 29">
            <a:extLst>
              <a:ext uri="{FF2B5EF4-FFF2-40B4-BE49-F238E27FC236}">
                <a16:creationId xmlns:a16="http://schemas.microsoft.com/office/drawing/2014/main" id="{4B25D80C-67B9-34A4-C210-A997F3D16DA9}"/>
              </a:ext>
            </a:extLst>
          </xdr:cNvPr>
          <xdr:cNvPicPr>
            <a:picLocks noChangeAspect="1"/>
          </xdr:cNvPicPr>
        </xdr:nvPicPr>
        <xdr:blipFill>
          <a:blip xmlns:r="http://schemas.openxmlformats.org/officeDocument/2006/relationships" r:embed="rId3"/>
          <a:stretch>
            <a:fillRect/>
          </a:stretch>
        </xdr:blipFill>
        <xdr:spPr>
          <a:xfrm>
            <a:off x="340322" y="11276135"/>
            <a:ext cx="685730" cy="421929"/>
          </a:xfrm>
          <a:prstGeom prst="rect">
            <a:avLst/>
          </a:prstGeom>
        </xdr:spPr>
      </xdr:pic>
      <xdr:pic>
        <xdr:nvPicPr>
          <xdr:cNvPr id="31" name="図 30">
            <a:extLst>
              <a:ext uri="{FF2B5EF4-FFF2-40B4-BE49-F238E27FC236}">
                <a16:creationId xmlns:a16="http://schemas.microsoft.com/office/drawing/2014/main" id="{119E873C-5007-2C80-54FF-921F4E731790}"/>
              </a:ext>
            </a:extLst>
          </xdr:cNvPr>
          <xdr:cNvPicPr>
            <a:picLocks noChangeAspect="1"/>
          </xdr:cNvPicPr>
        </xdr:nvPicPr>
        <xdr:blipFill>
          <a:blip xmlns:r="http://schemas.openxmlformats.org/officeDocument/2006/relationships" r:embed="rId3"/>
          <a:stretch>
            <a:fillRect/>
          </a:stretch>
        </xdr:blipFill>
        <xdr:spPr>
          <a:xfrm>
            <a:off x="1208942" y="11276135"/>
            <a:ext cx="680424" cy="421929"/>
          </a:xfrm>
          <a:prstGeom prst="rect">
            <a:avLst/>
          </a:prstGeom>
        </xdr:spPr>
      </xdr:pic>
      <xdr:pic>
        <xdr:nvPicPr>
          <xdr:cNvPr id="32" name="図 31">
            <a:extLst>
              <a:ext uri="{FF2B5EF4-FFF2-40B4-BE49-F238E27FC236}">
                <a16:creationId xmlns:a16="http://schemas.microsoft.com/office/drawing/2014/main" id="{8EE6D517-61B3-4F28-4230-822BC04919C9}"/>
              </a:ext>
            </a:extLst>
          </xdr:cNvPr>
          <xdr:cNvPicPr>
            <a:picLocks noChangeAspect="1"/>
          </xdr:cNvPicPr>
        </xdr:nvPicPr>
        <xdr:blipFill>
          <a:blip xmlns:r="http://schemas.openxmlformats.org/officeDocument/2006/relationships" r:embed="rId3"/>
          <a:stretch>
            <a:fillRect/>
          </a:stretch>
        </xdr:blipFill>
        <xdr:spPr>
          <a:xfrm>
            <a:off x="2085394" y="11276135"/>
            <a:ext cx="685729" cy="421929"/>
          </a:xfrm>
          <a:prstGeom prst="rect">
            <a:avLst/>
          </a:prstGeom>
        </xdr:spPr>
      </xdr:pic>
      <xdr:pic>
        <xdr:nvPicPr>
          <xdr:cNvPr id="33" name="図 32">
            <a:extLst>
              <a:ext uri="{FF2B5EF4-FFF2-40B4-BE49-F238E27FC236}">
                <a16:creationId xmlns:a16="http://schemas.microsoft.com/office/drawing/2014/main" id="{350B573C-6644-A3A6-20B7-6B6AF84C751C}"/>
              </a:ext>
            </a:extLst>
          </xdr:cNvPr>
          <xdr:cNvPicPr>
            <a:picLocks noChangeAspect="1"/>
          </xdr:cNvPicPr>
        </xdr:nvPicPr>
        <xdr:blipFill>
          <a:blip xmlns:r="http://schemas.openxmlformats.org/officeDocument/2006/relationships" r:embed="rId4"/>
          <a:stretch>
            <a:fillRect/>
          </a:stretch>
        </xdr:blipFill>
        <xdr:spPr>
          <a:xfrm>
            <a:off x="340322" y="11829444"/>
            <a:ext cx="2143544" cy="822296"/>
          </a:xfrm>
          <a:prstGeom prst="rect">
            <a:avLst/>
          </a:prstGeom>
        </xdr:spPr>
      </xdr:pic>
      <xdr:sp macro="" textlink="">
        <xdr:nvSpPr>
          <xdr:cNvPr id="34" name="テキスト ボックス 33">
            <a:extLst>
              <a:ext uri="{FF2B5EF4-FFF2-40B4-BE49-F238E27FC236}">
                <a16:creationId xmlns:a16="http://schemas.microsoft.com/office/drawing/2014/main" id="{7A0F8C25-905E-8E73-AE94-CDF2251FE9D0}"/>
              </a:ext>
            </a:extLst>
          </xdr:cNvPr>
          <xdr:cNvSpPr txBox="1"/>
        </xdr:nvSpPr>
        <xdr:spPr>
          <a:xfrm>
            <a:off x="2112933" y="11827675"/>
            <a:ext cx="1001010" cy="305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800">
              <a:latin typeface="Meiryo UI" panose="020B0604030504040204" pitchFamily="50" charset="-128"/>
              <a:ea typeface="Meiryo UI" panose="020B0604030504040204" pitchFamily="50" charset="-128"/>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179903</xdr:colOff>
      <xdr:row>7</xdr:row>
      <xdr:rowOff>0</xdr:rowOff>
    </xdr:from>
    <xdr:to>
      <xdr:col>35</xdr:col>
      <xdr:colOff>240195</xdr:colOff>
      <xdr:row>15</xdr:row>
      <xdr:rowOff>9750</xdr:rowOff>
    </xdr:to>
    <xdr:pic>
      <xdr:nvPicPr>
        <xdr:cNvPr id="2" name="図 1">
          <a:extLst>
            <a:ext uri="{FF2B5EF4-FFF2-40B4-BE49-F238E27FC236}">
              <a16:creationId xmlns:a16="http://schemas.microsoft.com/office/drawing/2014/main" id="{09D063FF-B57C-41AB-D357-1BECD8F902DD}"/>
            </a:ext>
          </a:extLst>
        </xdr:cNvPr>
        <xdr:cNvPicPr>
          <a:picLocks noChangeAspect="1"/>
        </xdr:cNvPicPr>
      </xdr:nvPicPr>
      <xdr:blipFill>
        <a:blip xmlns:r="http://schemas.openxmlformats.org/officeDocument/2006/relationships" r:embed="rId1"/>
        <a:stretch>
          <a:fillRect/>
        </a:stretch>
      </xdr:blipFill>
      <xdr:spPr>
        <a:xfrm>
          <a:off x="894278" y="3200400"/>
          <a:ext cx="7678222" cy="1609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177477</xdr:colOff>
      <xdr:row>1</xdr:row>
      <xdr:rowOff>73663</xdr:rowOff>
    </xdr:from>
    <xdr:to>
      <xdr:col>15</xdr:col>
      <xdr:colOff>14314</xdr:colOff>
      <xdr:row>7</xdr:row>
      <xdr:rowOff>74738</xdr:rowOff>
    </xdr:to>
    <xdr:pic>
      <xdr:nvPicPr>
        <xdr:cNvPr id="3" name="図 2">
          <a:extLst>
            <a:ext uri="{FF2B5EF4-FFF2-40B4-BE49-F238E27FC236}">
              <a16:creationId xmlns:a16="http://schemas.microsoft.com/office/drawing/2014/main" id="{43C0C9A0-38CD-FDDF-3AE2-6A39CE5654F3}"/>
            </a:ext>
          </a:extLst>
        </xdr:cNvPr>
        <xdr:cNvPicPr>
          <a:picLocks noChangeAspect="1"/>
        </xdr:cNvPicPr>
      </xdr:nvPicPr>
      <xdr:blipFill>
        <a:blip xmlns:r="http://schemas.openxmlformats.org/officeDocument/2006/relationships" r:embed="rId1"/>
        <a:stretch>
          <a:fillRect/>
        </a:stretch>
      </xdr:blipFill>
      <xdr:spPr>
        <a:xfrm>
          <a:off x="939477" y="275049"/>
          <a:ext cx="1932337" cy="1209389"/>
        </a:xfrm>
        <a:prstGeom prst="rect">
          <a:avLst/>
        </a:prstGeom>
      </xdr:spPr>
    </xdr:pic>
    <xdr:clientData/>
  </xdr:twoCellAnchor>
  <xdr:twoCellAnchor>
    <xdr:from>
      <xdr:col>12</xdr:col>
      <xdr:colOff>127070</xdr:colOff>
      <xdr:row>4</xdr:row>
      <xdr:rowOff>169513</xdr:rowOff>
    </xdr:from>
    <xdr:to>
      <xdr:col>15</xdr:col>
      <xdr:colOff>158864</xdr:colOff>
      <xdr:row>6</xdr:row>
      <xdr:rowOff>7508</xdr:rowOff>
    </xdr:to>
    <xdr:sp macro="" textlink="">
      <xdr:nvSpPr>
        <xdr:cNvPr id="4" name="テキスト ボックス 3">
          <a:extLst>
            <a:ext uri="{FF2B5EF4-FFF2-40B4-BE49-F238E27FC236}">
              <a16:creationId xmlns:a16="http://schemas.microsoft.com/office/drawing/2014/main" id="{F76931AF-E116-72B5-C448-9ECA0A06D01A}"/>
            </a:ext>
          </a:extLst>
        </xdr:cNvPr>
        <xdr:cNvSpPr txBox="1"/>
      </xdr:nvSpPr>
      <xdr:spPr>
        <a:xfrm>
          <a:off x="2404839" y="968684"/>
          <a:ext cx="606746" cy="237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生産数</a:t>
          </a:r>
        </a:p>
      </xdr:txBody>
    </xdr:sp>
    <xdr:clientData/>
  </xdr:twoCellAnchor>
  <xdr:twoCellAnchor>
    <xdr:from>
      <xdr:col>14</xdr:col>
      <xdr:colOff>170044</xdr:colOff>
      <xdr:row>6</xdr:row>
      <xdr:rowOff>48547</xdr:rowOff>
    </xdr:from>
    <xdr:to>
      <xdr:col>19</xdr:col>
      <xdr:colOff>133609</xdr:colOff>
      <xdr:row>7</xdr:row>
      <xdr:rowOff>68692</xdr:rowOff>
    </xdr:to>
    <xdr:sp macro="" textlink="">
      <xdr:nvSpPr>
        <xdr:cNvPr id="5" name="テキスト ボックス 4">
          <a:extLst>
            <a:ext uri="{FF2B5EF4-FFF2-40B4-BE49-F238E27FC236}">
              <a16:creationId xmlns:a16="http://schemas.microsoft.com/office/drawing/2014/main" id="{512C6490-ECC0-C563-4B22-9CB8780A9033}"/>
            </a:ext>
          </a:extLst>
        </xdr:cNvPr>
        <xdr:cNvSpPr txBox="1"/>
      </xdr:nvSpPr>
      <xdr:spPr>
        <a:xfrm>
          <a:off x="2832265" y="1247303"/>
          <a:ext cx="916065" cy="219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日の計画数</a:t>
          </a:r>
        </a:p>
      </xdr:txBody>
    </xdr:sp>
    <xdr:clientData/>
  </xdr:twoCellAnchor>
  <xdr:twoCellAnchor>
    <xdr:from>
      <xdr:col>8</xdr:col>
      <xdr:colOff>23363</xdr:colOff>
      <xdr:row>2</xdr:row>
      <xdr:rowOff>92927</xdr:rowOff>
    </xdr:from>
    <xdr:to>
      <xdr:col>15</xdr:col>
      <xdr:colOff>116290</xdr:colOff>
      <xdr:row>3</xdr:row>
      <xdr:rowOff>144037</xdr:rowOff>
    </xdr:to>
    <xdr:sp macro="" textlink="">
      <xdr:nvSpPr>
        <xdr:cNvPr id="6" name="テキスト ボックス 5">
          <a:extLst>
            <a:ext uri="{FF2B5EF4-FFF2-40B4-BE49-F238E27FC236}">
              <a16:creationId xmlns:a16="http://schemas.microsoft.com/office/drawing/2014/main" id="{0C276EFC-E1BA-E024-4650-E24DF38DBD45}"/>
            </a:ext>
          </a:extLst>
        </xdr:cNvPr>
        <xdr:cNvSpPr txBox="1"/>
      </xdr:nvSpPr>
      <xdr:spPr>
        <a:xfrm>
          <a:off x="1542584" y="492512"/>
          <a:ext cx="1426427" cy="25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その時間時点の計画数</a:t>
          </a:r>
        </a:p>
      </xdr:txBody>
    </xdr:sp>
    <xdr:clientData/>
  </xdr:twoCellAnchor>
  <xdr:twoCellAnchor>
    <xdr:from>
      <xdr:col>9</xdr:col>
      <xdr:colOff>80504</xdr:colOff>
      <xdr:row>1</xdr:row>
      <xdr:rowOff>0</xdr:rowOff>
    </xdr:from>
    <xdr:to>
      <xdr:col>12</xdr:col>
      <xdr:colOff>112743</xdr:colOff>
      <xdr:row>2</xdr:row>
      <xdr:rowOff>57103</xdr:rowOff>
    </xdr:to>
    <xdr:sp macro="" textlink="">
      <xdr:nvSpPr>
        <xdr:cNvPr id="7" name="テキスト ボックス 6">
          <a:extLst>
            <a:ext uri="{FF2B5EF4-FFF2-40B4-BE49-F238E27FC236}">
              <a16:creationId xmlns:a16="http://schemas.microsoft.com/office/drawing/2014/main" id="{7DD960AE-26D5-1B9B-66BE-F8AE987AB93D}"/>
            </a:ext>
          </a:extLst>
        </xdr:cNvPr>
        <xdr:cNvSpPr txBox="1"/>
      </xdr:nvSpPr>
      <xdr:spPr>
        <a:xfrm>
          <a:off x="1786773" y="199793"/>
          <a:ext cx="603739" cy="256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ライン</a:t>
          </a:r>
          <a:r>
            <a:rPr kumimoji="1" lang="en-US" altLang="ja-JP" sz="900">
              <a:latin typeface="Meiryo UI" panose="020B0604030504040204" pitchFamily="50" charset="-128"/>
              <a:ea typeface="Meiryo UI" panose="020B0604030504040204" pitchFamily="50" charset="-128"/>
            </a:rPr>
            <a:t>No</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8</xdr:col>
      <xdr:colOff>142817</xdr:colOff>
      <xdr:row>4</xdr:row>
      <xdr:rowOff>174953</xdr:rowOff>
    </xdr:from>
    <xdr:to>
      <xdr:col>15</xdr:col>
      <xdr:colOff>83767</xdr:colOff>
      <xdr:row>6</xdr:row>
      <xdr:rowOff>32525</xdr:rowOff>
    </xdr:to>
    <xdr:sp macro="" textlink="">
      <xdr:nvSpPr>
        <xdr:cNvPr id="8" name="四角形: 角を丸くする 7">
          <a:extLst>
            <a:ext uri="{FF2B5EF4-FFF2-40B4-BE49-F238E27FC236}">
              <a16:creationId xmlns:a16="http://schemas.microsoft.com/office/drawing/2014/main" id="{4448249F-9A1D-4EBF-DC01-A9DF79E2085C}"/>
            </a:ext>
          </a:extLst>
        </xdr:cNvPr>
        <xdr:cNvSpPr/>
      </xdr:nvSpPr>
      <xdr:spPr>
        <a:xfrm>
          <a:off x="1658586" y="974124"/>
          <a:ext cx="1277902" cy="257157"/>
        </a:xfrm>
        <a:prstGeom prst="roundRect">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kumimoji="1" lang="ja-JP" altLang="en-US" sz="1100">
            <a:solidFill>
              <a:schemeClr val="dk1"/>
            </a:solidFill>
            <a:latin typeface="+mn-lt"/>
            <a:ea typeface="+mn-ea"/>
            <a:cs typeface="+mn-cs"/>
          </a:endParaRPr>
        </a:p>
      </xdr:txBody>
    </xdr:sp>
    <xdr:clientData/>
  </xdr:twoCellAnchor>
  <xdr:twoCellAnchor>
    <xdr:from>
      <xdr:col>12</xdr:col>
      <xdr:colOff>91704</xdr:colOff>
      <xdr:row>6</xdr:row>
      <xdr:rowOff>74421</xdr:rowOff>
    </xdr:from>
    <xdr:to>
      <xdr:col>18</xdr:col>
      <xdr:colOff>146845</xdr:colOff>
      <xdr:row>7</xdr:row>
      <xdr:rowOff>74572</xdr:rowOff>
    </xdr:to>
    <xdr:sp macro="" textlink="">
      <xdr:nvSpPr>
        <xdr:cNvPr id="9" name="四角形: 角を丸くする 8">
          <a:extLst>
            <a:ext uri="{FF2B5EF4-FFF2-40B4-BE49-F238E27FC236}">
              <a16:creationId xmlns:a16="http://schemas.microsoft.com/office/drawing/2014/main" id="{0DACC99E-97BC-3B8E-F22C-B593EEE54D89}"/>
            </a:ext>
          </a:extLst>
        </xdr:cNvPr>
        <xdr:cNvSpPr/>
      </xdr:nvSpPr>
      <xdr:spPr>
        <a:xfrm>
          <a:off x="2369473" y="1273177"/>
          <a:ext cx="1201593" cy="199944"/>
        </a:xfrm>
        <a:prstGeom prst="roundRect">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kumimoji="1" lang="ja-JP" altLang="en-US" sz="1100">
            <a:solidFill>
              <a:schemeClr val="dk1"/>
            </a:solidFill>
            <a:latin typeface="+mn-lt"/>
            <a:ea typeface="+mn-ea"/>
            <a:cs typeface="+mn-cs"/>
          </a:endParaRPr>
        </a:p>
      </xdr:txBody>
    </xdr:sp>
    <xdr:clientData/>
  </xdr:twoCellAnchor>
  <xdr:twoCellAnchor>
    <xdr:from>
      <xdr:col>5</xdr:col>
      <xdr:colOff>123703</xdr:colOff>
      <xdr:row>2</xdr:row>
      <xdr:rowOff>106501</xdr:rowOff>
    </xdr:from>
    <xdr:to>
      <xdr:col>14</xdr:col>
      <xdr:colOff>167401</xdr:colOff>
      <xdr:row>3</xdr:row>
      <xdr:rowOff>134744</xdr:rowOff>
    </xdr:to>
    <xdr:sp macro="" textlink="">
      <xdr:nvSpPr>
        <xdr:cNvPr id="10" name="四角形: 角を丸くする 9">
          <a:extLst>
            <a:ext uri="{FF2B5EF4-FFF2-40B4-BE49-F238E27FC236}">
              <a16:creationId xmlns:a16="http://schemas.microsoft.com/office/drawing/2014/main" id="{804D1DE9-6ED4-C24C-4443-15C6A1F36302}"/>
            </a:ext>
          </a:extLst>
        </xdr:cNvPr>
        <xdr:cNvSpPr/>
      </xdr:nvSpPr>
      <xdr:spPr>
        <a:xfrm>
          <a:off x="1071424" y="506086"/>
          <a:ext cx="1758198" cy="228036"/>
        </a:xfrm>
        <a:prstGeom prst="roundRect">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kumimoji="1" lang="ja-JP" altLang="en-US" sz="1100">
            <a:solidFill>
              <a:schemeClr val="dk1"/>
            </a:solidFill>
            <a:latin typeface="+mn-lt"/>
            <a:ea typeface="+mn-ea"/>
            <a:cs typeface="+mn-cs"/>
          </a:endParaRPr>
        </a:p>
      </xdr:txBody>
    </xdr:sp>
    <xdr:clientData/>
  </xdr:twoCellAnchor>
  <xdr:twoCellAnchor>
    <xdr:from>
      <xdr:col>4</xdr:col>
      <xdr:colOff>156564</xdr:colOff>
      <xdr:row>1</xdr:row>
      <xdr:rowOff>43578</xdr:rowOff>
    </xdr:from>
    <xdr:to>
      <xdr:col>12</xdr:col>
      <xdr:colOff>72669</xdr:colOff>
      <xdr:row>2</xdr:row>
      <xdr:rowOff>62548</xdr:rowOff>
    </xdr:to>
    <xdr:sp macro="" textlink="">
      <xdr:nvSpPr>
        <xdr:cNvPr id="11" name="四角形: 角を丸くする 10">
          <a:extLst>
            <a:ext uri="{FF2B5EF4-FFF2-40B4-BE49-F238E27FC236}">
              <a16:creationId xmlns:a16="http://schemas.microsoft.com/office/drawing/2014/main" id="{7E36E6A9-E6AE-C94B-4153-BEC5C88E3550}"/>
            </a:ext>
          </a:extLst>
        </xdr:cNvPr>
        <xdr:cNvSpPr/>
      </xdr:nvSpPr>
      <xdr:spPr>
        <a:xfrm>
          <a:off x="913785" y="243371"/>
          <a:ext cx="1436653" cy="218762"/>
        </a:xfrm>
        <a:prstGeom prst="roundRect">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kumimoji="1" lang="ja-JP" altLang="en-US" sz="1100">
            <a:solidFill>
              <a:schemeClr val="dk1"/>
            </a:solidFill>
            <a:latin typeface="+mn-lt"/>
            <a:ea typeface="+mn-ea"/>
            <a:cs typeface="+mn-cs"/>
          </a:endParaRPr>
        </a:p>
      </xdr:txBody>
    </xdr:sp>
    <xdr:clientData/>
  </xdr:twoCellAnchor>
  <xdr:twoCellAnchor>
    <xdr:from>
      <xdr:col>8</xdr:col>
      <xdr:colOff>185845</xdr:colOff>
      <xdr:row>1</xdr:row>
      <xdr:rowOff>144232</xdr:rowOff>
    </xdr:from>
    <xdr:to>
      <xdr:col>9</xdr:col>
      <xdr:colOff>140113</xdr:colOff>
      <xdr:row>1</xdr:row>
      <xdr:rowOff>144232</xdr:rowOff>
    </xdr:to>
    <xdr:cxnSp macro="">
      <xdr:nvCxnSpPr>
        <xdr:cNvPr id="12" name="直線矢印コネクタ 11">
          <a:extLst>
            <a:ext uri="{FF2B5EF4-FFF2-40B4-BE49-F238E27FC236}">
              <a16:creationId xmlns:a16="http://schemas.microsoft.com/office/drawing/2014/main" id="{009C71FD-6A2B-E86C-15D8-173B8437F02A}"/>
            </a:ext>
          </a:extLst>
        </xdr:cNvPr>
        <xdr:cNvCxnSpPr/>
      </xdr:nvCxnSpPr>
      <xdr:spPr>
        <a:xfrm flipH="1">
          <a:off x="1701614" y="344025"/>
          <a:ext cx="144768" cy="0"/>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104485</xdr:colOff>
      <xdr:row>6</xdr:row>
      <xdr:rowOff>184607</xdr:rowOff>
    </xdr:from>
    <xdr:to>
      <xdr:col>15</xdr:col>
      <xdr:colOff>60632</xdr:colOff>
      <xdr:row>6</xdr:row>
      <xdr:rowOff>184607</xdr:rowOff>
    </xdr:to>
    <xdr:cxnSp macro="">
      <xdr:nvCxnSpPr>
        <xdr:cNvPr id="15" name="直線矢印コネクタ 14">
          <a:extLst>
            <a:ext uri="{FF2B5EF4-FFF2-40B4-BE49-F238E27FC236}">
              <a16:creationId xmlns:a16="http://schemas.microsoft.com/office/drawing/2014/main" id="{14B119FD-35AF-450B-2304-A66BEE706766}"/>
            </a:ext>
          </a:extLst>
        </xdr:cNvPr>
        <xdr:cNvCxnSpPr/>
      </xdr:nvCxnSpPr>
      <xdr:spPr>
        <a:xfrm flipH="1">
          <a:off x="2766706" y="1383363"/>
          <a:ext cx="146647" cy="0"/>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175282</xdr:colOff>
      <xdr:row>9</xdr:row>
      <xdr:rowOff>74570</xdr:rowOff>
    </xdr:from>
    <xdr:to>
      <xdr:col>18</xdr:col>
      <xdr:colOff>13627</xdr:colOff>
      <xdr:row>15</xdr:row>
      <xdr:rowOff>74738</xdr:rowOff>
    </xdr:to>
    <xdr:pic>
      <xdr:nvPicPr>
        <xdr:cNvPr id="17" name="図 16">
          <a:extLst>
            <a:ext uri="{FF2B5EF4-FFF2-40B4-BE49-F238E27FC236}">
              <a16:creationId xmlns:a16="http://schemas.microsoft.com/office/drawing/2014/main" id="{CE0F5B03-6BC9-ED29-EBBB-275C3A71C364}"/>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harpenSoften amount="50000"/>
                  </a14:imgEffect>
                </a14:imgLayer>
              </a14:imgProps>
            </a:ext>
          </a:extLst>
        </a:blip>
        <a:stretch>
          <a:fillRect/>
        </a:stretch>
      </xdr:blipFill>
      <xdr:spPr>
        <a:xfrm>
          <a:off x="932503" y="1872704"/>
          <a:ext cx="1933845" cy="1198924"/>
        </a:xfrm>
        <a:prstGeom prst="rect">
          <a:avLst/>
        </a:prstGeom>
      </xdr:spPr>
    </xdr:pic>
    <xdr:clientData/>
  </xdr:twoCellAnchor>
  <xdr:twoCellAnchor>
    <xdr:from>
      <xdr:col>14</xdr:col>
      <xdr:colOff>88892</xdr:colOff>
      <xdr:row>12</xdr:row>
      <xdr:rowOff>163249</xdr:rowOff>
    </xdr:from>
    <xdr:to>
      <xdr:col>15</xdr:col>
      <xdr:colOff>173657</xdr:colOff>
      <xdr:row>14</xdr:row>
      <xdr:rowOff>3594</xdr:rowOff>
    </xdr:to>
    <xdr:sp macro="" textlink="">
      <xdr:nvSpPr>
        <xdr:cNvPr id="18" name="テキスト ボックス 17">
          <a:extLst>
            <a:ext uri="{FF2B5EF4-FFF2-40B4-BE49-F238E27FC236}">
              <a16:creationId xmlns:a16="http://schemas.microsoft.com/office/drawing/2014/main" id="{C16F6174-A477-6E52-D30C-EECFF43FF28E}"/>
            </a:ext>
          </a:extLst>
        </xdr:cNvPr>
        <xdr:cNvSpPr txBox="1"/>
      </xdr:nvSpPr>
      <xdr:spPr>
        <a:xfrm>
          <a:off x="2184392" y="2579878"/>
          <a:ext cx="275265" cy="243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③</a:t>
          </a:r>
        </a:p>
      </xdr:txBody>
    </xdr:sp>
    <xdr:clientData/>
  </xdr:twoCellAnchor>
  <xdr:twoCellAnchor>
    <xdr:from>
      <xdr:col>17</xdr:col>
      <xdr:colOff>50716</xdr:colOff>
      <xdr:row>14</xdr:row>
      <xdr:rowOff>30405</xdr:rowOff>
    </xdr:from>
    <xdr:to>
      <xdr:col>19</xdr:col>
      <xdr:colOff>14686</xdr:colOff>
      <xdr:row>15</xdr:row>
      <xdr:rowOff>50645</xdr:rowOff>
    </xdr:to>
    <xdr:sp macro="" textlink="">
      <xdr:nvSpPr>
        <xdr:cNvPr id="19" name="テキスト ボックス 18">
          <a:extLst>
            <a:ext uri="{FF2B5EF4-FFF2-40B4-BE49-F238E27FC236}">
              <a16:creationId xmlns:a16="http://schemas.microsoft.com/office/drawing/2014/main" id="{78421D82-188A-6E4D-C478-DE6015914996}"/>
            </a:ext>
          </a:extLst>
        </xdr:cNvPr>
        <xdr:cNvSpPr txBox="1"/>
      </xdr:nvSpPr>
      <xdr:spPr>
        <a:xfrm>
          <a:off x="2717408" y="2848367"/>
          <a:ext cx="344970" cy="221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⑤</a:t>
          </a:r>
        </a:p>
      </xdr:txBody>
    </xdr:sp>
    <xdr:clientData/>
  </xdr:twoCellAnchor>
  <xdr:twoCellAnchor>
    <xdr:from>
      <xdr:col>10</xdr:col>
      <xdr:colOff>21874</xdr:colOff>
      <xdr:row>10</xdr:row>
      <xdr:rowOff>85011</xdr:rowOff>
    </xdr:from>
    <xdr:to>
      <xdr:col>11</xdr:col>
      <xdr:colOff>155687</xdr:colOff>
      <xdr:row>11</xdr:row>
      <xdr:rowOff>140179</xdr:rowOff>
    </xdr:to>
    <xdr:sp macro="" textlink="">
      <xdr:nvSpPr>
        <xdr:cNvPr id="20" name="テキスト ボックス 19">
          <a:extLst>
            <a:ext uri="{FF2B5EF4-FFF2-40B4-BE49-F238E27FC236}">
              <a16:creationId xmlns:a16="http://schemas.microsoft.com/office/drawing/2014/main" id="{6FBAC0B7-D8B7-7705-0F60-BB73D1380F87}"/>
            </a:ext>
          </a:extLst>
        </xdr:cNvPr>
        <xdr:cNvSpPr txBox="1"/>
      </xdr:nvSpPr>
      <xdr:spPr>
        <a:xfrm>
          <a:off x="1355066" y="2097841"/>
          <a:ext cx="323491" cy="25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②</a:t>
          </a:r>
        </a:p>
      </xdr:txBody>
    </xdr:sp>
    <xdr:clientData/>
  </xdr:twoCellAnchor>
  <xdr:twoCellAnchor>
    <xdr:from>
      <xdr:col>11</xdr:col>
      <xdr:colOff>117978</xdr:colOff>
      <xdr:row>9</xdr:row>
      <xdr:rowOff>7189</xdr:rowOff>
    </xdr:from>
    <xdr:to>
      <xdr:col>12</xdr:col>
      <xdr:colOff>180847</xdr:colOff>
      <xdr:row>10</xdr:row>
      <xdr:rowOff>64840</xdr:rowOff>
    </xdr:to>
    <xdr:sp macro="" textlink="">
      <xdr:nvSpPr>
        <xdr:cNvPr id="21" name="テキスト ボックス 20">
          <a:extLst>
            <a:ext uri="{FF2B5EF4-FFF2-40B4-BE49-F238E27FC236}">
              <a16:creationId xmlns:a16="http://schemas.microsoft.com/office/drawing/2014/main" id="{552FE8D3-9F8D-1FFC-C17A-8DEFCADF80A5}"/>
            </a:ext>
          </a:extLst>
        </xdr:cNvPr>
        <xdr:cNvSpPr txBox="1"/>
      </xdr:nvSpPr>
      <xdr:spPr>
        <a:xfrm>
          <a:off x="1641670" y="1818736"/>
          <a:ext cx="252547" cy="258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①</a:t>
          </a:r>
        </a:p>
      </xdr:txBody>
    </xdr:sp>
    <xdr:clientData/>
  </xdr:twoCellAnchor>
  <xdr:twoCellAnchor>
    <xdr:from>
      <xdr:col>11</xdr:col>
      <xdr:colOff>108293</xdr:colOff>
      <xdr:row>12</xdr:row>
      <xdr:rowOff>147266</xdr:rowOff>
    </xdr:from>
    <xdr:to>
      <xdr:col>15</xdr:col>
      <xdr:colOff>144698</xdr:colOff>
      <xdr:row>14</xdr:row>
      <xdr:rowOff>43002</xdr:rowOff>
    </xdr:to>
    <xdr:sp macro="" textlink="">
      <xdr:nvSpPr>
        <xdr:cNvPr id="22" name="四角形: 角を丸くする 21">
          <a:extLst>
            <a:ext uri="{FF2B5EF4-FFF2-40B4-BE49-F238E27FC236}">
              <a16:creationId xmlns:a16="http://schemas.microsoft.com/office/drawing/2014/main" id="{4CCE9976-F175-312C-E3A2-584C58A3BDE0}"/>
            </a:ext>
          </a:extLst>
        </xdr:cNvPr>
        <xdr:cNvSpPr/>
      </xdr:nvSpPr>
      <xdr:spPr>
        <a:xfrm>
          <a:off x="1632293" y="2563895"/>
          <a:ext cx="798405" cy="298507"/>
        </a:xfrm>
        <a:prstGeom prst="roundRect">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kumimoji="1" lang="ja-JP" altLang="en-US" sz="1100">
            <a:solidFill>
              <a:schemeClr val="dk1"/>
            </a:solidFill>
            <a:latin typeface="+mn-lt"/>
            <a:ea typeface="+mn-ea"/>
            <a:cs typeface="+mn-cs"/>
          </a:endParaRPr>
        </a:p>
      </xdr:txBody>
    </xdr:sp>
    <xdr:clientData/>
  </xdr:twoCellAnchor>
  <xdr:twoCellAnchor>
    <xdr:from>
      <xdr:col>15</xdr:col>
      <xdr:colOff>65759</xdr:colOff>
      <xdr:row>14</xdr:row>
      <xdr:rowOff>70976</xdr:rowOff>
    </xdr:from>
    <xdr:to>
      <xdr:col>18</xdr:col>
      <xdr:colOff>126111</xdr:colOff>
      <xdr:row>15</xdr:row>
      <xdr:rowOff>70976</xdr:rowOff>
    </xdr:to>
    <xdr:sp macro="" textlink="">
      <xdr:nvSpPr>
        <xdr:cNvPr id="23" name="四角形: 角を丸くする 22">
          <a:extLst>
            <a:ext uri="{FF2B5EF4-FFF2-40B4-BE49-F238E27FC236}">
              <a16:creationId xmlns:a16="http://schemas.microsoft.com/office/drawing/2014/main" id="{BB062BFB-62E3-2107-7F04-007B67F9646C}"/>
            </a:ext>
          </a:extLst>
        </xdr:cNvPr>
        <xdr:cNvSpPr/>
      </xdr:nvSpPr>
      <xdr:spPr>
        <a:xfrm>
          <a:off x="2351759" y="2890376"/>
          <a:ext cx="631852" cy="201386"/>
        </a:xfrm>
        <a:prstGeom prst="roundRect">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kumimoji="1" lang="ja-JP" altLang="en-US" sz="1100">
            <a:solidFill>
              <a:schemeClr val="dk1"/>
            </a:solidFill>
            <a:latin typeface="+mn-lt"/>
            <a:ea typeface="+mn-ea"/>
            <a:cs typeface="+mn-cs"/>
          </a:endParaRPr>
        </a:p>
      </xdr:txBody>
    </xdr:sp>
    <xdr:clientData/>
  </xdr:twoCellAnchor>
  <xdr:twoCellAnchor>
    <xdr:from>
      <xdr:col>8</xdr:col>
      <xdr:colOff>118921</xdr:colOff>
      <xdr:row>10</xdr:row>
      <xdr:rowOff>118440</xdr:rowOff>
    </xdr:from>
    <xdr:to>
      <xdr:col>11</xdr:col>
      <xdr:colOff>97493</xdr:colOff>
      <xdr:row>11</xdr:row>
      <xdr:rowOff>122208</xdr:rowOff>
    </xdr:to>
    <xdr:sp macro="" textlink="">
      <xdr:nvSpPr>
        <xdr:cNvPr id="24" name="四角形: 角を丸くする 23">
          <a:extLst>
            <a:ext uri="{FF2B5EF4-FFF2-40B4-BE49-F238E27FC236}">
              <a16:creationId xmlns:a16="http://schemas.microsoft.com/office/drawing/2014/main" id="{CF30DFE9-56EF-46FA-96B5-4C4C3DD95C5A}"/>
            </a:ext>
          </a:extLst>
        </xdr:cNvPr>
        <xdr:cNvSpPr/>
      </xdr:nvSpPr>
      <xdr:spPr>
        <a:xfrm>
          <a:off x="1071113" y="2131270"/>
          <a:ext cx="550072" cy="205051"/>
        </a:xfrm>
        <a:prstGeom prst="roundRect">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kumimoji="1" lang="ja-JP" altLang="en-US" sz="1100">
            <a:solidFill>
              <a:schemeClr val="dk1"/>
            </a:solidFill>
            <a:latin typeface="+mn-lt"/>
            <a:ea typeface="+mn-ea"/>
            <a:cs typeface="+mn-cs"/>
          </a:endParaRPr>
        </a:p>
      </xdr:txBody>
    </xdr:sp>
    <xdr:clientData/>
  </xdr:twoCellAnchor>
  <xdr:twoCellAnchor>
    <xdr:from>
      <xdr:col>7</xdr:col>
      <xdr:colOff>172323</xdr:colOff>
      <xdr:row>9</xdr:row>
      <xdr:rowOff>51303</xdr:rowOff>
    </xdr:from>
    <xdr:to>
      <xdr:col>12</xdr:col>
      <xdr:colOff>173658</xdr:colOff>
      <xdr:row>10</xdr:row>
      <xdr:rowOff>70352</xdr:rowOff>
    </xdr:to>
    <xdr:sp macro="" textlink="">
      <xdr:nvSpPr>
        <xdr:cNvPr id="25" name="四角形: 角を丸くする 24">
          <a:extLst>
            <a:ext uri="{FF2B5EF4-FFF2-40B4-BE49-F238E27FC236}">
              <a16:creationId xmlns:a16="http://schemas.microsoft.com/office/drawing/2014/main" id="{AD99867D-82C7-0479-044E-6147AF5AC713}"/>
            </a:ext>
          </a:extLst>
        </xdr:cNvPr>
        <xdr:cNvSpPr/>
      </xdr:nvSpPr>
      <xdr:spPr>
        <a:xfrm>
          <a:off x="934015" y="1862850"/>
          <a:ext cx="953013" cy="220332"/>
        </a:xfrm>
        <a:prstGeom prst="roundRect">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kumimoji="1" lang="ja-JP" altLang="en-US" sz="1100">
            <a:solidFill>
              <a:schemeClr val="dk1"/>
            </a:solidFill>
            <a:latin typeface="+mn-lt"/>
            <a:ea typeface="+mn-ea"/>
            <a:cs typeface="+mn-cs"/>
          </a:endParaRPr>
        </a:p>
      </xdr:txBody>
    </xdr:sp>
    <xdr:clientData/>
  </xdr:twoCellAnchor>
  <xdr:twoCellAnchor>
    <xdr:from>
      <xdr:col>1</xdr:col>
      <xdr:colOff>0</xdr:colOff>
      <xdr:row>8</xdr:row>
      <xdr:rowOff>201385</xdr:rowOff>
    </xdr:from>
    <xdr:to>
      <xdr:col>7</xdr:col>
      <xdr:colOff>146957</xdr:colOff>
      <xdr:row>15</xdr:row>
      <xdr:rowOff>201385</xdr:rowOff>
    </xdr:to>
    <xdr:sp macro="" textlink="">
      <xdr:nvSpPr>
        <xdr:cNvPr id="30" name="四角形: 角を丸くする 29">
          <a:extLst>
            <a:ext uri="{FF2B5EF4-FFF2-40B4-BE49-F238E27FC236}">
              <a16:creationId xmlns:a16="http://schemas.microsoft.com/office/drawing/2014/main" id="{4242FE60-FB8D-0344-5946-7B8F63EDB1AB}"/>
            </a:ext>
          </a:extLst>
        </xdr:cNvPr>
        <xdr:cNvSpPr/>
      </xdr:nvSpPr>
      <xdr:spPr>
        <a:xfrm>
          <a:off x="190500" y="1812471"/>
          <a:ext cx="1289957" cy="1409700"/>
        </a:xfrm>
        <a:prstGeom prst="roundRect">
          <a:avLst>
            <a:gd name="adj" fmla="val 2768"/>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kumimoji="1" lang="en-US" altLang="ja-JP" sz="1000">
              <a:solidFill>
                <a:schemeClr val="dk1"/>
              </a:solidFill>
              <a:latin typeface="Meiryo UI" panose="020B0604030504040204" pitchFamily="50" charset="-128"/>
              <a:ea typeface="Meiryo UI" panose="020B0604030504040204" pitchFamily="50" charset="-128"/>
              <a:cs typeface="+mn-cs"/>
            </a:rPr>
            <a:t>【</a:t>
          </a:r>
          <a:r>
            <a:rPr kumimoji="1" lang="ja-JP" altLang="en-US" sz="1000">
              <a:solidFill>
                <a:schemeClr val="dk1"/>
              </a:solidFill>
              <a:latin typeface="Meiryo UI" panose="020B0604030504040204" pitchFamily="50" charset="-128"/>
              <a:ea typeface="Meiryo UI" panose="020B0604030504040204" pitchFamily="50" charset="-128"/>
              <a:cs typeface="+mn-cs"/>
            </a:rPr>
            <a:t>凡例</a:t>
          </a:r>
          <a:r>
            <a:rPr kumimoji="1" lang="en-US" altLang="ja-JP" sz="1000">
              <a:solidFill>
                <a:schemeClr val="dk1"/>
              </a:solidFill>
              <a:latin typeface="Meiryo UI" panose="020B0604030504040204" pitchFamily="50" charset="-128"/>
              <a:ea typeface="Meiryo UI" panose="020B0604030504040204" pitchFamily="50" charset="-128"/>
              <a:cs typeface="+mn-cs"/>
            </a:rPr>
            <a:t>】</a:t>
          </a:r>
        </a:p>
        <a:p>
          <a:pPr marL="0" indent="0" algn="l"/>
          <a:r>
            <a:rPr kumimoji="1" lang="ja-JP" altLang="en-US" sz="1000">
              <a:solidFill>
                <a:schemeClr val="dk1"/>
              </a:solidFill>
              <a:latin typeface="Meiryo UI" panose="020B0604030504040204" pitchFamily="50" charset="-128"/>
              <a:ea typeface="Meiryo UI" panose="020B0604030504040204" pitchFamily="50" charset="-128"/>
              <a:cs typeface="+mn-cs"/>
            </a:rPr>
            <a:t>①ライン</a:t>
          </a:r>
          <a:r>
            <a:rPr kumimoji="1" lang="en-US" altLang="ja-JP" sz="1000">
              <a:solidFill>
                <a:schemeClr val="dk1"/>
              </a:solidFill>
              <a:latin typeface="Meiryo UI" panose="020B0604030504040204" pitchFamily="50" charset="-128"/>
              <a:ea typeface="Meiryo UI" panose="020B0604030504040204" pitchFamily="50" charset="-128"/>
              <a:cs typeface="+mn-cs"/>
            </a:rPr>
            <a:t>No</a:t>
          </a:r>
        </a:p>
        <a:p>
          <a:pPr marL="0" indent="0" algn="l"/>
          <a:r>
            <a:rPr kumimoji="1" lang="ja-JP" altLang="en-US" sz="1000">
              <a:solidFill>
                <a:schemeClr val="dk1"/>
              </a:solidFill>
              <a:latin typeface="Meiryo UI" panose="020B0604030504040204" pitchFamily="50" charset="-128"/>
              <a:ea typeface="Meiryo UI" panose="020B0604030504040204" pitchFamily="50" charset="-128"/>
              <a:cs typeface="+mn-cs"/>
            </a:rPr>
            <a:t>②現時刻の計画数</a:t>
          </a:r>
          <a:endParaRPr kumimoji="1" lang="en-US" altLang="ja-JP" sz="1000">
            <a:solidFill>
              <a:schemeClr val="dk1"/>
            </a:solidFill>
            <a:latin typeface="Meiryo UI" panose="020B0604030504040204" pitchFamily="50" charset="-128"/>
            <a:ea typeface="Meiryo UI" panose="020B0604030504040204" pitchFamily="50" charset="-128"/>
            <a:cs typeface="+mn-cs"/>
          </a:endParaRPr>
        </a:p>
        <a:p>
          <a:pPr marL="0" indent="0" algn="l"/>
          <a:r>
            <a:rPr kumimoji="1" lang="ja-JP" altLang="en-US" sz="1000">
              <a:solidFill>
                <a:schemeClr val="dk1"/>
              </a:solidFill>
              <a:latin typeface="Meiryo UI" panose="020B0604030504040204" pitchFamily="50" charset="-128"/>
              <a:ea typeface="Meiryo UI" panose="020B0604030504040204" pitchFamily="50" charset="-128"/>
              <a:cs typeface="+mn-cs"/>
            </a:rPr>
            <a:t>③生産数</a:t>
          </a:r>
          <a:endParaRPr kumimoji="1" lang="en-US" altLang="ja-JP" sz="1000">
            <a:solidFill>
              <a:schemeClr val="dk1"/>
            </a:solidFill>
            <a:latin typeface="Meiryo UI" panose="020B0604030504040204" pitchFamily="50" charset="-128"/>
            <a:ea typeface="Meiryo UI" panose="020B0604030504040204" pitchFamily="50" charset="-128"/>
            <a:cs typeface="+mn-cs"/>
          </a:endParaRPr>
        </a:p>
        <a:p>
          <a:pPr marL="0" indent="0" algn="l"/>
          <a:r>
            <a:rPr kumimoji="1" lang="ja-JP" altLang="en-US" sz="1000">
              <a:solidFill>
                <a:schemeClr val="dk1"/>
              </a:solidFill>
              <a:latin typeface="Meiryo UI" panose="020B0604030504040204" pitchFamily="50" charset="-128"/>
              <a:ea typeface="Meiryo UI" panose="020B0604030504040204" pitchFamily="50" charset="-128"/>
              <a:cs typeface="+mn-cs"/>
            </a:rPr>
            <a:t>④不良数</a:t>
          </a:r>
          <a:endParaRPr kumimoji="1" lang="en-US" altLang="ja-JP" sz="1000">
            <a:solidFill>
              <a:schemeClr val="dk1"/>
            </a:solidFill>
            <a:latin typeface="Meiryo UI" panose="020B0604030504040204" pitchFamily="50" charset="-128"/>
            <a:ea typeface="Meiryo UI" panose="020B0604030504040204" pitchFamily="50" charset="-128"/>
            <a:cs typeface="+mn-cs"/>
          </a:endParaRPr>
        </a:p>
        <a:p>
          <a:pPr marL="0" indent="0" algn="l"/>
          <a:r>
            <a:rPr kumimoji="1" lang="ja-JP" altLang="en-US" sz="1000">
              <a:solidFill>
                <a:schemeClr val="dk1"/>
              </a:solidFill>
              <a:latin typeface="Meiryo UI" panose="020B0604030504040204" pitchFamily="50" charset="-128"/>
              <a:ea typeface="Meiryo UI" panose="020B0604030504040204" pitchFamily="50" charset="-128"/>
              <a:cs typeface="+mn-cs"/>
            </a:rPr>
            <a:t>⑤</a:t>
          </a:r>
          <a:r>
            <a:rPr kumimoji="1" lang="en-US" altLang="ja-JP" sz="1000">
              <a:solidFill>
                <a:schemeClr val="dk1"/>
              </a:solidFill>
              <a:latin typeface="Meiryo UI" panose="020B0604030504040204" pitchFamily="50" charset="-128"/>
              <a:ea typeface="Meiryo UI" panose="020B0604030504040204" pitchFamily="50" charset="-128"/>
              <a:cs typeface="+mn-cs"/>
            </a:rPr>
            <a:t>1</a:t>
          </a:r>
          <a:r>
            <a:rPr kumimoji="1" lang="ja-JP" altLang="en-US" sz="1000">
              <a:solidFill>
                <a:schemeClr val="dk1"/>
              </a:solidFill>
              <a:latin typeface="Meiryo UI" panose="020B0604030504040204" pitchFamily="50" charset="-128"/>
              <a:ea typeface="Meiryo UI" panose="020B0604030504040204" pitchFamily="50" charset="-128"/>
              <a:cs typeface="+mn-cs"/>
            </a:rPr>
            <a:t>日の計画数</a:t>
          </a:r>
        </a:p>
        <a:p>
          <a:pPr marL="0" indent="0" algn="l"/>
          <a:endParaRPr kumimoji="1" lang="en-US" altLang="ja-JP" sz="1000">
            <a:solidFill>
              <a:schemeClr val="dk1"/>
            </a:solidFill>
            <a:latin typeface="Meiryo UI" panose="020B0604030504040204" pitchFamily="50" charset="-128"/>
            <a:ea typeface="Meiryo UI" panose="020B0604030504040204" pitchFamily="50" charset="-128"/>
            <a:cs typeface="+mn-cs"/>
          </a:endParaRPr>
        </a:p>
        <a:p>
          <a:pPr marL="0" indent="0" algn="l"/>
          <a:endParaRPr kumimoji="1" lang="ja-JP" altLang="en-US" sz="1000">
            <a:solidFill>
              <a:schemeClr val="dk1"/>
            </a:solidFill>
            <a:latin typeface="Meiryo UI" panose="020B0604030504040204" pitchFamily="50" charset="-128"/>
            <a:ea typeface="Meiryo UI" panose="020B0604030504040204" pitchFamily="50" charset="-128"/>
            <a:cs typeface="+mn-cs"/>
          </a:endParaRPr>
        </a:p>
      </xdr:txBody>
    </xdr:sp>
    <xdr:clientData/>
  </xdr:twoCellAnchor>
  <xdr:twoCellAnchor>
    <xdr:from>
      <xdr:col>9</xdr:col>
      <xdr:colOff>105803</xdr:colOff>
      <xdr:row>6</xdr:row>
      <xdr:rowOff>55757</xdr:rowOff>
    </xdr:from>
    <xdr:to>
      <xdr:col>11</xdr:col>
      <xdr:colOff>58225</xdr:colOff>
      <xdr:row>7</xdr:row>
      <xdr:rowOff>56017</xdr:rowOff>
    </xdr:to>
    <xdr:pic>
      <xdr:nvPicPr>
        <xdr:cNvPr id="31" name="図 30">
          <a:extLst>
            <a:ext uri="{FF2B5EF4-FFF2-40B4-BE49-F238E27FC236}">
              <a16:creationId xmlns:a16="http://schemas.microsoft.com/office/drawing/2014/main" id="{BE5A7437-0DC7-5FB0-D98C-2643E137197F}"/>
            </a:ext>
          </a:extLst>
        </xdr:cNvPr>
        <xdr:cNvPicPr>
          <a:picLocks noChangeAspect="1"/>
        </xdr:cNvPicPr>
      </xdr:nvPicPr>
      <xdr:blipFill>
        <a:blip xmlns:r="http://schemas.openxmlformats.org/officeDocument/2006/relationships" r:embed="rId4"/>
        <a:stretch>
          <a:fillRect/>
        </a:stretch>
      </xdr:blipFill>
      <xdr:spPr>
        <a:xfrm>
          <a:off x="1820303" y="1264071"/>
          <a:ext cx="333422" cy="201646"/>
        </a:xfrm>
        <a:prstGeom prst="rect">
          <a:avLst/>
        </a:prstGeom>
        <a:noFill/>
      </xdr:spPr>
    </xdr:pic>
    <xdr:clientData/>
  </xdr:twoCellAnchor>
  <xdr:twoCellAnchor>
    <xdr:from>
      <xdr:col>11</xdr:col>
      <xdr:colOff>171906</xdr:colOff>
      <xdr:row>5</xdr:row>
      <xdr:rowOff>102415</xdr:rowOff>
    </xdr:from>
    <xdr:to>
      <xdr:col>12</xdr:col>
      <xdr:colOff>126174</xdr:colOff>
      <xdr:row>5</xdr:row>
      <xdr:rowOff>102415</xdr:rowOff>
    </xdr:to>
    <xdr:cxnSp macro="">
      <xdr:nvCxnSpPr>
        <xdr:cNvPr id="32" name="直線矢印コネクタ 31">
          <a:extLst>
            <a:ext uri="{FF2B5EF4-FFF2-40B4-BE49-F238E27FC236}">
              <a16:creationId xmlns:a16="http://schemas.microsoft.com/office/drawing/2014/main" id="{12292ED0-E6B2-BA0F-3F4B-2E6F5C9EE849}"/>
            </a:ext>
          </a:extLst>
        </xdr:cNvPr>
        <xdr:cNvCxnSpPr/>
      </xdr:nvCxnSpPr>
      <xdr:spPr>
        <a:xfrm flipH="1">
          <a:off x="2259175" y="1101378"/>
          <a:ext cx="144768" cy="0"/>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182932</xdr:colOff>
      <xdr:row>6</xdr:row>
      <xdr:rowOff>52075</xdr:rowOff>
    </xdr:from>
    <xdr:to>
      <xdr:col>11</xdr:col>
      <xdr:colOff>74872</xdr:colOff>
      <xdr:row>7</xdr:row>
      <xdr:rowOff>71044</xdr:rowOff>
    </xdr:to>
    <xdr:sp macro="" textlink="">
      <xdr:nvSpPr>
        <xdr:cNvPr id="33" name="四角形: 角を丸くする 32">
          <a:extLst>
            <a:ext uri="{FF2B5EF4-FFF2-40B4-BE49-F238E27FC236}">
              <a16:creationId xmlns:a16="http://schemas.microsoft.com/office/drawing/2014/main" id="{AFA9CB60-559B-6AC5-A747-E10C968BDF36}"/>
            </a:ext>
          </a:extLst>
        </xdr:cNvPr>
        <xdr:cNvSpPr/>
      </xdr:nvSpPr>
      <xdr:spPr>
        <a:xfrm>
          <a:off x="1325932" y="1260389"/>
          <a:ext cx="844440" cy="220355"/>
        </a:xfrm>
        <a:prstGeom prst="roundRect">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kumimoji="1" lang="ja-JP" altLang="en-US" sz="1100">
            <a:solidFill>
              <a:schemeClr val="dk1"/>
            </a:solidFill>
            <a:latin typeface="+mn-lt"/>
            <a:ea typeface="+mn-ea"/>
            <a:cs typeface="+mn-cs"/>
          </a:endParaRPr>
        </a:p>
      </xdr:txBody>
    </xdr:sp>
    <xdr:clientData/>
  </xdr:twoCellAnchor>
  <xdr:twoCellAnchor>
    <xdr:from>
      <xdr:col>9</xdr:col>
      <xdr:colOff>61214</xdr:colOff>
      <xdr:row>6</xdr:row>
      <xdr:rowOff>157944</xdr:rowOff>
    </xdr:from>
    <xdr:to>
      <xdr:col>10</xdr:col>
      <xdr:colOff>10973</xdr:colOff>
      <xdr:row>6</xdr:row>
      <xdr:rowOff>162896</xdr:rowOff>
    </xdr:to>
    <xdr:cxnSp macro="">
      <xdr:nvCxnSpPr>
        <xdr:cNvPr id="34" name="直線矢印コネクタ 33">
          <a:extLst>
            <a:ext uri="{FF2B5EF4-FFF2-40B4-BE49-F238E27FC236}">
              <a16:creationId xmlns:a16="http://schemas.microsoft.com/office/drawing/2014/main" id="{C0E472C7-C7CF-6F54-387E-6EC8E801C899}"/>
            </a:ext>
          </a:extLst>
        </xdr:cNvPr>
        <xdr:cNvCxnSpPr/>
      </xdr:nvCxnSpPr>
      <xdr:spPr>
        <a:xfrm>
          <a:off x="1767483" y="1356700"/>
          <a:ext cx="140259" cy="4952"/>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170081</xdr:colOff>
      <xdr:row>6</xdr:row>
      <xdr:rowOff>20830</xdr:rowOff>
    </xdr:from>
    <xdr:to>
      <xdr:col>9</xdr:col>
      <xdr:colOff>129036</xdr:colOff>
      <xdr:row>7</xdr:row>
      <xdr:rowOff>58617</xdr:rowOff>
    </xdr:to>
    <xdr:sp macro="" textlink="">
      <xdr:nvSpPr>
        <xdr:cNvPr id="35" name="テキスト ボックス 34">
          <a:extLst>
            <a:ext uri="{FF2B5EF4-FFF2-40B4-BE49-F238E27FC236}">
              <a16:creationId xmlns:a16="http://schemas.microsoft.com/office/drawing/2014/main" id="{74978DCE-3EEA-406B-D1BA-585341883EEE}"/>
            </a:ext>
          </a:extLst>
        </xdr:cNvPr>
        <xdr:cNvSpPr txBox="1"/>
      </xdr:nvSpPr>
      <xdr:spPr>
        <a:xfrm>
          <a:off x="1308302" y="1219586"/>
          <a:ext cx="527003" cy="237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不良数</a:t>
          </a:r>
        </a:p>
      </xdr:txBody>
    </xdr:sp>
    <xdr:clientData/>
  </xdr:twoCellAnchor>
  <xdr:twoCellAnchor>
    <xdr:from>
      <xdr:col>7</xdr:col>
      <xdr:colOff>117345</xdr:colOff>
      <xdr:row>3</xdr:row>
      <xdr:rowOff>23427</xdr:rowOff>
    </xdr:from>
    <xdr:to>
      <xdr:col>8</xdr:col>
      <xdr:colOff>71613</xdr:colOff>
      <xdr:row>3</xdr:row>
      <xdr:rowOff>23427</xdr:rowOff>
    </xdr:to>
    <xdr:cxnSp macro="">
      <xdr:nvCxnSpPr>
        <xdr:cNvPr id="36" name="直線矢印コネクタ 35">
          <a:extLst>
            <a:ext uri="{FF2B5EF4-FFF2-40B4-BE49-F238E27FC236}">
              <a16:creationId xmlns:a16="http://schemas.microsoft.com/office/drawing/2014/main" id="{71A4E39E-A369-00C1-AC41-274426916C50}"/>
            </a:ext>
          </a:extLst>
        </xdr:cNvPr>
        <xdr:cNvCxnSpPr/>
      </xdr:nvCxnSpPr>
      <xdr:spPr>
        <a:xfrm flipH="1">
          <a:off x="1446066" y="622805"/>
          <a:ext cx="144768" cy="0"/>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105803</xdr:colOff>
      <xdr:row>14</xdr:row>
      <xdr:rowOff>72085</xdr:rowOff>
    </xdr:from>
    <xdr:to>
      <xdr:col>14</xdr:col>
      <xdr:colOff>58225</xdr:colOff>
      <xdr:row>15</xdr:row>
      <xdr:rowOff>72345</xdr:rowOff>
    </xdr:to>
    <xdr:pic>
      <xdr:nvPicPr>
        <xdr:cNvPr id="38" name="図 37">
          <a:extLst>
            <a:ext uri="{FF2B5EF4-FFF2-40B4-BE49-F238E27FC236}">
              <a16:creationId xmlns:a16="http://schemas.microsoft.com/office/drawing/2014/main" id="{D4A01D90-18C4-0B84-D8D8-7ABC516036FC}"/>
            </a:ext>
          </a:extLst>
        </xdr:cNvPr>
        <xdr:cNvPicPr>
          <a:picLocks noChangeAspect="1"/>
        </xdr:cNvPicPr>
      </xdr:nvPicPr>
      <xdr:blipFill>
        <a:blip xmlns:r="http://schemas.openxmlformats.org/officeDocument/2006/relationships" r:embed="rId4"/>
        <a:stretch>
          <a:fillRect/>
        </a:stretch>
      </xdr:blipFill>
      <xdr:spPr>
        <a:xfrm>
          <a:off x="1820303" y="2891485"/>
          <a:ext cx="333422" cy="201646"/>
        </a:xfrm>
        <a:prstGeom prst="rect">
          <a:avLst/>
        </a:prstGeom>
        <a:noFill/>
      </xdr:spPr>
    </xdr:pic>
    <xdr:clientData/>
  </xdr:twoCellAnchor>
  <xdr:twoCellAnchor>
    <xdr:from>
      <xdr:col>12</xdr:col>
      <xdr:colOff>97970</xdr:colOff>
      <xdr:row>14</xdr:row>
      <xdr:rowOff>68404</xdr:rowOff>
    </xdr:from>
    <xdr:to>
      <xdr:col>14</xdr:col>
      <xdr:colOff>141513</xdr:colOff>
      <xdr:row>15</xdr:row>
      <xdr:rowOff>81644</xdr:rowOff>
    </xdr:to>
    <xdr:sp macro="" textlink="">
      <xdr:nvSpPr>
        <xdr:cNvPr id="37" name="四角形: 角を丸くする 36">
          <a:extLst>
            <a:ext uri="{FF2B5EF4-FFF2-40B4-BE49-F238E27FC236}">
              <a16:creationId xmlns:a16="http://schemas.microsoft.com/office/drawing/2014/main" id="{02FC801E-CA2B-9859-C75A-BCCDB03BBACF}"/>
            </a:ext>
          </a:extLst>
        </xdr:cNvPr>
        <xdr:cNvSpPr/>
      </xdr:nvSpPr>
      <xdr:spPr>
        <a:xfrm>
          <a:off x="1812470" y="2887804"/>
          <a:ext cx="424543" cy="214626"/>
        </a:xfrm>
        <a:prstGeom prst="roundRect">
          <a:avLst/>
        </a:prstGeom>
        <a:solidFill>
          <a:srgbClr val="FFC000">
            <a:alpha val="20000"/>
          </a:srgbClr>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kumimoji="1" lang="ja-JP" altLang="en-US" sz="1100">
            <a:solidFill>
              <a:schemeClr val="dk1"/>
            </a:solidFill>
            <a:latin typeface="+mn-lt"/>
            <a:ea typeface="+mn-ea"/>
            <a:cs typeface="+mn-cs"/>
          </a:endParaRPr>
        </a:p>
      </xdr:txBody>
    </xdr:sp>
    <xdr:clientData/>
  </xdr:twoCellAnchor>
  <xdr:twoCellAnchor>
    <xdr:from>
      <xdr:col>13</xdr:col>
      <xdr:colOff>99778</xdr:colOff>
      <xdr:row>14</xdr:row>
      <xdr:rowOff>32621</xdr:rowOff>
    </xdr:from>
    <xdr:to>
      <xdr:col>14</xdr:col>
      <xdr:colOff>184543</xdr:colOff>
      <xdr:row>15</xdr:row>
      <xdr:rowOff>74351</xdr:rowOff>
    </xdr:to>
    <xdr:sp macro="" textlink="">
      <xdr:nvSpPr>
        <xdr:cNvPr id="39" name="テキスト ボックス 38">
          <a:extLst>
            <a:ext uri="{FF2B5EF4-FFF2-40B4-BE49-F238E27FC236}">
              <a16:creationId xmlns:a16="http://schemas.microsoft.com/office/drawing/2014/main" id="{67EB1E71-E0E7-74B6-D5E3-FCF42BA942CC}"/>
            </a:ext>
          </a:extLst>
        </xdr:cNvPr>
        <xdr:cNvSpPr txBox="1"/>
      </xdr:nvSpPr>
      <xdr:spPr>
        <a:xfrm>
          <a:off x="2004778" y="2852021"/>
          <a:ext cx="275265" cy="243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④</a:t>
          </a:r>
        </a:p>
      </xdr:txBody>
    </xdr:sp>
    <xdr:clientData/>
  </xdr:twoCellAnchor>
  <xdr:twoCellAnchor>
    <xdr:from>
      <xdr:col>3</xdr:col>
      <xdr:colOff>126296</xdr:colOff>
      <xdr:row>18</xdr:row>
      <xdr:rowOff>101784</xdr:rowOff>
    </xdr:from>
    <xdr:to>
      <xdr:col>13</xdr:col>
      <xdr:colOff>155141</xdr:colOff>
      <xdr:row>24</xdr:row>
      <xdr:rowOff>101953</xdr:rowOff>
    </xdr:to>
    <xdr:pic>
      <xdr:nvPicPr>
        <xdr:cNvPr id="40" name="図 39">
          <a:extLst>
            <a:ext uri="{FF2B5EF4-FFF2-40B4-BE49-F238E27FC236}">
              <a16:creationId xmlns:a16="http://schemas.microsoft.com/office/drawing/2014/main" id="{D9F2E3BB-1D0E-03A1-F37E-19B3F6F858F1}"/>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harpenSoften amount="50000"/>
                  </a14:imgEffect>
                </a14:imgLayer>
              </a14:imgProps>
            </a:ext>
          </a:extLst>
        </a:blip>
        <a:stretch>
          <a:fillRect/>
        </a:stretch>
      </xdr:blipFill>
      <xdr:spPr>
        <a:xfrm>
          <a:off x="697796" y="3726727"/>
          <a:ext cx="1933845" cy="1208483"/>
        </a:xfrm>
        <a:prstGeom prst="rect">
          <a:avLst/>
        </a:prstGeom>
      </xdr:spPr>
    </xdr:pic>
    <xdr:clientData/>
  </xdr:twoCellAnchor>
  <xdr:twoCellAnchor>
    <xdr:from>
      <xdr:col>8</xdr:col>
      <xdr:colOff>48985</xdr:colOff>
      <xdr:row>23</xdr:row>
      <xdr:rowOff>76201</xdr:rowOff>
    </xdr:from>
    <xdr:to>
      <xdr:col>10</xdr:col>
      <xdr:colOff>1407</xdr:colOff>
      <xdr:row>24</xdr:row>
      <xdr:rowOff>76461</xdr:rowOff>
    </xdr:to>
    <xdr:pic>
      <xdr:nvPicPr>
        <xdr:cNvPr id="41" name="図 40">
          <a:extLst>
            <a:ext uri="{FF2B5EF4-FFF2-40B4-BE49-F238E27FC236}">
              <a16:creationId xmlns:a16="http://schemas.microsoft.com/office/drawing/2014/main" id="{049AC5B4-811A-47BC-99A6-97F40AC2C985}"/>
            </a:ext>
          </a:extLst>
        </xdr:cNvPr>
        <xdr:cNvPicPr>
          <a:picLocks noChangeAspect="1"/>
        </xdr:cNvPicPr>
      </xdr:nvPicPr>
      <xdr:blipFill>
        <a:blip xmlns:r="http://schemas.openxmlformats.org/officeDocument/2006/relationships" r:embed="rId4"/>
        <a:stretch>
          <a:fillRect/>
        </a:stretch>
      </xdr:blipFill>
      <xdr:spPr>
        <a:xfrm>
          <a:off x="1572985" y="4708072"/>
          <a:ext cx="333422" cy="201646"/>
        </a:xfrm>
        <a:prstGeom prst="rect">
          <a:avLst/>
        </a:prstGeom>
        <a:noFill/>
      </xdr:spPr>
    </xdr:pic>
    <xdr:clientData/>
  </xdr:twoCellAnchor>
  <xdr:twoCellAnchor>
    <xdr:from>
      <xdr:col>3</xdr:col>
      <xdr:colOff>0</xdr:colOff>
      <xdr:row>25</xdr:row>
      <xdr:rowOff>0</xdr:rowOff>
    </xdr:from>
    <xdr:to>
      <xdr:col>13</xdr:col>
      <xdr:colOff>28845</xdr:colOff>
      <xdr:row>31</xdr:row>
      <xdr:rowOff>169</xdr:rowOff>
    </xdr:to>
    <xdr:pic>
      <xdr:nvPicPr>
        <xdr:cNvPr id="42" name="図 41">
          <a:extLst>
            <a:ext uri="{FF2B5EF4-FFF2-40B4-BE49-F238E27FC236}">
              <a16:creationId xmlns:a16="http://schemas.microsoft.com/office/drawing/2014/main" id="{11E6D6B4-B6F4-4769-98F3-509CB351CA37}"/>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harpenSoften amount="50000"/>
                  </a14:imgEffect>
                </a14:imgLayer>
              </a14:imgProps>
            </a:ext>
          </a:extLst>
        </a:blip>
        <a:stretch>
          <a:fillRect/>
        </a:stretch>
      </xdr:blipFill>
      <xdr:spPr>
        <a:xfrm>
          <a:off x="571500" y="5034643"/>
          <a:ext cx="1933845" cy="120848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39</xdr:row>
      <xdr:rowOff>0</xdr:rowOff>
    </xdr:from>
    <xdr:to>
      <xdr:col>52</xdr:col>
      <xdr:colOff>144622</xdr:colOff>
      <xdr:row>74</xdr:row>
      <xdr:rowOff>39082</xdr:rowOff>
    </xdr:to>
    <xdr:pic>
      <xdr:nvPicPr>
        <xdr:cNvPr id="2" name="図 1">
          <a:extLst>
            <a:ext uri="{FF2B5EF4-FFF2-40B4-BE49-F238E27FC236}">
              <a16:creationId xmlns:a16="http://schemas.microsoft.com/office/drawing/2014/main" id="{0C6A2DC7-8C92-63C2-C4D5-D2AE543DC44C}"/>
            </a:ext>
          </a:extLst>
        </xdr:cNvPr>
        <xdr:cNvPicPr>
          <a:picLocks noChangeAspect="1"/>
        </xdr:cNvPicPr>
      </xdr:nvPicPr>
      <xdr:blipFill>
        <a:blip xmlns:r="http://schemas.openxmlformats.org/officeDocument/2006/relationships" r:embed="rId1"/>
        <a:stretch>
          <a:fillRect/>
        </a:stretch>
      </xdr:blipFill>
      <xdr:spPr>
        <a:xfrm>
          <a:off x="244929" y="7551964"/>
          <a:ext cx="12391051" cy="7182832"/>
        </a:xfrm>
        <a:prstGeom prst="rect">
          <a:avLst/>
        </a:prstGeom>
      </xdr:spPr>
    </xdr:pic>
    <xdr:clientData/>
  </xdr:twoCellAnchor>
  <xdr:twoCellAnchor>
    <xdr:from>
      <xdr:col>2</xdr:col>
      <xdr:colOff>0</xdr:colOff>
      <xdr:row>2</xdr:row>
      <xdr:rowOff>0</xdr:rowOff>
    </xdr:from>
    <xdr:to>
      <xdr:col>53</xdr:col>
      <xdr:colOff>16714</xdr:colOff>
      <xdr:row>36</xdr:row>
      <xdr:rowOff>138420</xdr:rowOff>
    </xdr:to>
    <xdr:grpSp>
      <xdr:nvGrpSpPr>
        <xdr:cNvPr id="13" name="グループ化 12">
          <a:extLst>
            <a:ext uri="{FF2B5EF4-FFF2-40B4-BE49-F238E27FC236}">
              <a16:creationId xmlns:a16="http://schemas.microsoft.com/office/drawing/2014/main" id="{CF8056D0-D20E-3D96-7686-78053AA2FE5D}"/>
            </a:ext>
          </a:extLst>
        </xdr:cNvPr>
        <xdr:cNvGrpSpPr/>
      </xdr:nvGrpSpPr>
      <xdr:grpSpPr>
        <a:xfrm>
          <a:off x="489857" y="408214"/>
          <a:ext cx="12508071" cy="7078063"/>
          <a:chOff x="489857" y="408214"/>
          <a:chExt cx="12508071" cy="7078063"/>
        </a:xfrm>
      </xdr:grpSpPr>
      <xdr:pic>
        <xdr:nvPicPr>
          <xdr:cNvPr id="4" name="図 3">
            <a:extLst>
              <a:ext uri="{FF2B5EF4-FFF2-40B4-BE49-F238E27FC236}">
                <a16:creationId xmlns:a16="http://schemas.microsoft.com/office/drawing/2014/main" id="{E06AE503-71AD-5B1A-617B-D53D66D70D82}"/>
              </a:ext>
            </a:extLst>
          </xdr:cNvPr>
          <xdr:cNvPicPr>
            <a:picLocks noChangeAspect="1"/>
          </xdr:cNvPicPr>
        </xdr:nvPicPr>
        <xdr:blipFill>
          <a:blip xmlns:r="http://schemas.openxmlformats.org/officeDocument/2006/relationships" r:embed="rId2"/>
          <a:stretch>
            <a:fillRect/>
          </a:stretch>
        </xdr:blipFill>
        <xdr:spPr>
          <a:xfrm>
            <a:off x="489857" y="408214"/>
            <a:ext cx="12508071" cy="7078063"/>
          </a:xfrm>
          <a:prstGeom prst="rect">
            <a:avLst/>
          </a:prstGeom>
        </xdr:spPr>
      </xdr:pic>
      <xdr:pic>
        <xdr:nvPicPr>
          <xdr:cNvPr id="5" name="図 4">
            <a:extLst>
              <a:ext uri="{FF2B5EF4-FFF2-40B4-BE49-F238E27FC236}">
                <a16:creationId xmlns:a16="http://schemas.microsoft.com/office/drawing/2014/main" id="{BE248F7D-8DB0-F1A1-2BA1-67B16E4C5631}"/>
              </a:ext>
            </a:extLst>
          </xdr:cNvPr>
          <xdr:cNvPicPr>
            <a:picLocks noChangeAspect="1"/>
          </xdr:cNvPicPr>
        </xdr:nvPicPr>
        <xdr:blipFill>
          <a:blip xmlns:r="http://schemas.openxmlformats.org/officeDocument/2006/relationships" r:embed="rId3"/>
          <a:stretch>
            <a:fillRect/>
          </a:stretch>
        </xdr:blipFill>
        <xdr:spPr>
          <a:xfrm>
            <a:off x="7674430" y="5442857"/>
            <a:ext cx="4582164" cy="2010056"/>
          </a:xfrm>
          <a:prstGeom prst="rect">
            <a:avLst/>
          </a:prstGeom>
        </xdr:spPr>
      </xdr:pic>
      <xdr:sp macro="" textlink="">
        <xdr:nvSpPr>
          <xdr:cNvPr id="6" name="テキスト ボックス 5">
            <a:extLst>
              <a:ext uri="{FF2B5EF4-FFF2-40B4-BE49-F238E27FC236}">
                <a16:creationId xmlns:a16="http://schemas.microsoft.com/office/drawing/2014/main" id="{F7B2161E-90B4-1CC8-0414-D4AA4FD4B25A}"/>
              </a:ext>
            </a:extLst>
          </xdr:cNvPr>
          <xdr:cNvSpPr txBox="1"/>
        </xdr:nvSpPr>
        <xdr:spPr>
          <a:xfrm>
            <a:off x="3020786" y="5796644"/>
            <a:ext cx="4313464" cy="231320"/>
          </a:xfrm>
          <a:prstGeom prst="rect">
            <a:avLst/>
          </a:prstGeom>
          <a:no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sp macro="" textlink="">
        <xdr:nvSpPr>
          <xdr:cNvPr id="7" name="テキスト ボックス 6">
            <a:extLst>
              <a:ext uri="{FF2B5EF4-FFF2-40B4-BE49-F238E27FC236}">
                <a16:creationId xmlns:a16="http://schemas.microsoft.com/office/drawing/2014/main" id="{E0E7E929-40AC-5748-2EE2-83361AC780D0}"/>
              </a:ext>
            </a:extLst>
          </xdr:cNvPr>
          <xdr:cNvSpPr txBox="1"/>
        </xdr:nvSpPr>
        <xdr:spPr>
          <a:xfrm>
            <a:off x="7674429" y="7170963"/>
            <a:ext cx="4354286" cy="231323"/>
          </a:xfrm>
          <a:prstGeom prst="rect">
            <a:avLst/>
          </a:prstGeom>
          <a:no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sp macro="" textlink="">
        <xdr:nvSpPr>
          <xdr:cNvPr id="8" name="矢印: 右 7">
            <a:extLst>
              <a:ext uri="{FF2B5EF4-FFF2-40B4-BE49-F238E27FC236}">
                <a16:creationId xmlns:a16="http://schemas.microsoft.com/office/drawing/2014/main" id="{2F66E869-B94A-F7F2-BBC7-3D4481F7E238}"/>
              </a:ext>
            </a:extLst>
          </xdr:cNvPr>
          <xdr:cNvSpPr/>
        </xdr:nvSpPr>
        <xdr:spPr>
          <a:xfrm rot="2623948">
            <a:off x="7252609" y="6422571"/>
            <a:ext cx="1183820" cy="367393"/>
          </a:xfrm>
          <a:prstGeom prst="right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p>
        </xdr:txBody>
      </xdr:sp>
      <xdr:sp macro="" textlink="">
        <xdr:nvSpPr>
          <xdr:cNvPr id="9" name="吹き出し: 四角形 8">
            <a:extLst>
              <a:ext uri="{FF2B5EF4-FFF2-40B4-BE49-F238E27FC236}">
                <a16:creationId xmlns:a16="http://schemas.microsoft.com/office/drawing/2014/main" id="{0E829042-CDA5-1F39-E797-72EACB9E4985}"/>
              </a:ext>
            </a:extLst>
          </xdr:cNvPr>
          <xdr:cNvSpPr/>
        </xdr:nvSpPr>
        <xdr:spPr>
          <a:xfrm>
            <a:off x="7415893" y="4667249"/>
            <a:ext cx="5524500" cy="775607"/>
          </a:xfrm>
          <a:prstGeom prst="wedgeRectCallout">
            <a:avLst>
              <a:gd name="adj1" fmla="val 22748"/>
              <a:gd name="adj2" fmla="val 271272"/>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200">
                <a:latin typeface="Meiryo UI" panose="020B0604030504040204" pitchFamily="50" charset="-128"/>
                <a:ea typeface="Meiryo UI" panose="020B0604030504040204" pitchFamily="50" charset="-128"/>
              </a:rPr>
              <a:t>問題②</a:t>
            </a:r>
            <a:endParaRPr kumimoji="1" lang="en-US" altLang="ja-JP" sz="1200">
              <a:latin typeface="Meiryo UI" panose="020B0604030504040204" pitchFamily="50" charset="-128"/>
              <a:ea typeface="Meiryo UI" panose="020B0604030504040204" pitchFamily="50" charset="-128"/>
            </a:endParaRPr>
          </a:p>
          <a:p>
            <a:pPr algn="l"/>
            <a:r>
              <a:rPr kumimoji="1" lang="ja-JP" altLang="en-US" sz="1200">
                <a:latin typeface="Meiryo UI" panose="020B0604030504040204" pitchFamily="50" charset="-128"/>
                <a:ea typeface="Meiryo UI" panose="020B0604030504040204" pitchFamily="50" charset="-128"/>
              </a:rPr>
              <a:t>翌営業日にあるべき</a:t>
            </a:r>
            <a:r>
              <a:rPr kumimoji="1" lang="en-US" altLang="ja-JP" sz="1200">
                <a:latin typeface="Meiryo UI" panose="020B0604030504040204" pitchFamily="50" charset="-128"/>
                <a:ea typeface="Meiryo UI" panose="020B0604030504040204" pitchFamily="50" charset="-128"/>
              </a:rPr>
              <a:t>8:01</a:t>
            </a:r>
            <a:r>
              <a:rPr kumimoji="1" lang="ja-JP" altLang="en-US" sz="1200">
                <a:latin typeface="Meiryo UI" panose="020B0604030504040204" pitchFamily="50" charset="-128"/>
                <a:ea typeface="Meiryo UI" panose="020B0604030504040204" pitchFamily="50" charset="-128"/>
              </a:rPr>
              <a:t>データがその日の最終データとなり不要レコードが発生する</a:t>
            </a:r>
          </a:p>
        </xdr:txBody>
      </xdr:sp>
      <xdr:sp macro="" textlink="">
        <xdr:nvSpPr>
          <xdr:cNvPr id="10" name="吹き出し: 四角形 9">
            <a:extLst>
              <a:ext uri="{FF2B5EF4-FFF2-40B4-BE49-F238E27FC236}">
                <a16:creationId xmlns:a16="http://schemas.microsoft.com/office/drawing/2014/main" id="{877594B7-ED16-5BB1-CFA4-17408E225B18}"/>
              </a:ext>
            </a:extLst>
          </xdr:cNvPr>
          <xdr:cNvSpPr/>
        </xdr:nvSpPr>
        <xdr:spPr>
          <a:xfrm>
            <a:off x="7878536" y="2503715"/>
            <a:ext cx="3891643" cy="775607"/>
          </a:xfrm>
          <a:prstGeom prst="wedgeRectCallout">
            <a:avLst>
              <a:gd name="adj1" fmla="val 59107"/>
              <a:gd name="adj2" fmla="val 101096"/>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200">
                <a:latin typeface="Meiryo UI" panose="020B0604030504040204" pitchFamily="50" charset="-128"/>
                <a:ea typeface="Meiryo UI" panose="020B0604030504040204" pitchFamily="50" charset="-128"/>
              </a:rPr>
              <a:t>問題①</a:t>
            </a:r>
            <a:endParaRPr kumimoji="1" lang="en-US" altLang="ja-JP" sz="1200">
              <a:latin typeface="Meiryo UI" panose="020B0604030504040204" pitchFamily="50" charset="-128"/>
              <a:ea typeface="Meiryo UI" panose="020B0604030504040204" pitchFamily="50" charset="-128"/>
            </a:endParaRPr>
          </a:p>
          <a:p>
            <a:pPr algn="l"/>
            <a:r>
              <a:rPr kumimoji="1" lang="en-US" altLang="ja-JP" sz="1200">
                <a:latin typeface="Meiryo UI" panose="020B0604030504040204" pitchFamily="50" charset="-128"/>
                <a:ea typeface="Meiryo UI" panose="020B0604030504040204" pitchFamily="50" charset="-128"/>
              </a:rPr>
              <a:t>7:01</a:t>
            </a:r>
            <a:r>
              <a:rPr kumimoji="1" lang="ja-JP" altLang="en-US" sz="1200">
                <a:latin typeface="Meiryo UI" panose="020B0604030504040204" pitchFamily="50" charset="-128"/>
                <a:ea typeface="Meiryo UI" panose="020B0604030504040204" pitchFamily="50" charset="-128"/>
              </a:rPr>
              <a:t>のデータがあるのでグラフ表示が全体的におかしくなる</a:t>
            </a:r>
            <a:endParaRPr kumimoji="1" lang="en-US" altLang="ja-JP" sz="1200">
              <a:latin typeface="Meiryo UI" panose="020B0604030504040204" pitchFamily="50" charset="-128"/>
              <a:ea typeface="Meiryo UI" panose="020B0604030504040204" pitchFamily="50" charset="-128"/>
            </a:endParaRPr>
          </a:p>
          <a:p>
            <a:pPr algn="l"/>
            <a:endParaRPr kumimoji="1" lang="ja-JP" altLang="en-US" sz="1200">
              <a:latin typeface="Meiryo UI" panose="020B0604030504040204" pitchFamily="50" charset="-128"/>
              <a:ea typeface="Meiryo UI" panose="020B0604030504040204" pitchFamily="50" charset="-128"/>
            </a:endParaRPr>
          </a:p>
        </xdr:txBody>
      </xdr:sp>
    </xdr:grpSp>
    <xdr:clientData/>
  </xdr:twoCellAnchor>
  <xdr:twoCellAnchor>
    <xdr:from>
      <xdr:col>12</xdr:col>
      <xdr:colOff>81643</xdr:colOff>
      <xdr:row>65</xdr:row>
      <xdr:rowOff>190502</xdr:rowOff>
    </xdr:from>
    <xdr:to>
      <xdr:col>29</xdr:col>
      <xdr:colOff>231321</xdr:colOff>
      <xdr:row>67</xdr:row>
      <xdr:rowOff>13607</xdr:rowOff>
    </xdr:to>
    <xdr:sp macro="" textlink="">
      <xdr:nvSpPr>
        <xdr:cNvPr id="11" name="テキスト ボックス 10">
          <a:extLst>
            <a:ext uri="{FF2B5EF4-FFF2-40B4-BE49-F238E27FC236}">
              <a16:creationId xmlns:a16="http://schemas.microsoft.com/office/drawing/2014/main" id="{A4350E18-B90C-AE3E-2281-36EAF548B75A}"/>
            </a:ext>
          </a:extLst>
        </xdr:cNvPr>
        <xdr:cNvSpPr txBox="1"/>
      </xdr:nvSpPr>
      <xdr:spPr>
        <a:xfrm>
          <a:off x="3020786" y="13457466"/>
          <a:ext cx="4313464" cy="231320"/>
        </a:xfrm>
        <a:prstGeom prst="rect">
          <a:avLst/>
        </a:prstGeom>
        <a:no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26</xdr:col>
      <xdr:colOff>40822</xdr:colOff>
      <xdr:row>58</xdr:row>
      <xdr:rowOff>163286</xdr:rowOff>
    </xdr:from>
    <xdr:to>
      <xdr:col>48</xdr:col>
      <xdr:colOff>176894</xdr:colOff>
      <xdr:row>63</xdr:row>
      <xdr:rowOff>81643</xdr:rowOff>
    </xdr:to>
    <xdr:sp macro="" textlink="">
      <xdr:nvSpPr>
        <xdr:cNvPr id="12" name="吹き出し: 四角形 11">
          <a:extLst>
            <a:ext uri="{FF2B5EF4-FFF2-40B4-BE49-F238E27FC236}">
              <a16:creationId xmlns:a16="http://schemas.microsoft.com/office/drawing/2014/main" id="{D3703BB4-C794-AB59-8F78-3718DFDAFF6B}"/>
            </a:ext>
          </a:extLst>
        </xdr:cNvPr>
        <xdr:cNvSpPr/>
      </xdr:nvSpPr>
      <xdr:spPr>
        <a:xfrm>
          <a:off x="6408965" y="12001500"/>
          <a:ext cx="5524500" cy="938893"/>
        </a:xfrm>
        <a:prstGeom prst="wedgeRectCallout">
          <a:avLst>
            <a:gd name="adj1" fmla="val -49419"/>
            <a:gd name="adj2" fmla="val 102851"/>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200">
              <a:latin typeface="Meiryo UI" panose="020B0604030504040204" pitchFamily="50" charset="-128"/>
              <a:ea typeface="Meiryo UI" panose="020B0604030504040204" pitchFamily="50" charset="-128"/>
            </a:rPr>
            <a:t>問題①</a:t>
          </a:r>
          <a:endParaRPr kumimoji="1" lang="en-US" altLang="ja-JP" sz="1200">
            <a:latin typeface="Meiryo UI" panose="020B0604030504040204" pitchFamily="50" charset="-128"/>
            <a:ea typeface="Meiryo UI" panose="020B0604030504040204" pitchFamily="50" charset="-128"/>
          </a:endParaRPr>
        </a:p>
        <a:p>
          <a:pPr algn="l"/>
          <a:r>
            <a:rPr kumimoji="1" lang="en-US" altLang="ja-JP" sz="1200">
              <a:latin typeface="Meiryo UI" panose="020B0604030504040204" pitchFamily="50" charset="-128"/>
              <a:ea typeface="Meiryo UI" panose="020B0604030504040204" pitchFamily="50" charset="-128"/>
            </a:rPr>
            <a:t>1</a:t>
          </a:r>
          <a:r>
            <a:rPr kumimoji="1" lang="ja-JP" altLang="en-US" sz="1200">
              <a:latin typeface="Meiryo UI" panose="020B0604030504040204" pitchFamily="50" charset="-128"/>
              <a:ea typeface="Meiryo UI" panose="020B0604030504040204" pitchFamily="50" charset="-128"/>
            </a:rPr>
            <a:t>時間あたりの生産数は「その時間の生産数</a:t>
          </a:r>
          <a:r>
            <a:rPr kumimoji="1" lang="en-US" altLang="ja-JP" sz="1200">
              <a:latin typeface="Meiryo UI" panose="020B0604030504040204" pitchFamily="50" charset="-128"/>
              <a:ea typeface="Meiryo UI" panose="020B0604030504040204" pitchFamily="50" charset="-128"/>
            </a:rPr>
            <a:t>-</a:t>
          </a:r>
          <a:r>
            <a:rPr kumimoji="1" lang="ja-JP" altLang="en-US" sz="1200">
              <a:latin typeface="Meiryo UI" panose="020B0604030504040204" pitchFamily="50" charset="-128"/>
              <a:ea typeface="Meiryo UI" panose="020B0604030504040204" pitchFamily="50" charset="-128"/>
            </a:rPr>
            <a:t>前の時間の生産数」で計算している為、</a:t>
          </a:r>
          <a:endParaRPr kumimoji="1" lang="en-US" altLang="ja-JP" sz="1200">
            <a:latin typeface="Meiryo UI" panose="020B0604030504040204" pitchFamily="50" charset="-128"/>
            <a:ea typeface="Meiryo UI" panose="020B0604030504040204" pitchFamily="50" charset="-128"/>
          </a:endParaRPr>
        </a:p>
        <a:p>
          <a:pPr algn="l"/>
          <a:r>
            <a:rPr kumimoji="1" lang="ja-JP" altLang="en-US" sz="1200">
              <a:latin typeface="Meiryo UI" panose="020B0604030504040204" pitchFamily="50" charset="-128"/>
              <a:ea typeface="Meiryo UI" panose="020B0604030504040204" pitchFamily="50" charset="-128"/>
            </a:rPr>
            <a:t>初回がマイナス値になる（前日の最終レコードを参照している為）</a:t>
          </a:r>
          <a:endParaRPr kumimoji="1" lang="en-US" altLang="ja-JP" sz="12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eablog.net/powerbi-craydec-timelines/"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eablog.net/powerbi-craydec-timelines/"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5D443-F8AC-4319-BC7B-A2B52A396325}">
  <dimension ref="A1:U61"/>
  <sheetViews>
    <sheetView showGridLines="0" tabSelected="1" zoomScale="130" zoomScaleNormal="130" workbookViewId="0">
      <selection activeCell="A2" sqref="A2"/>
    </sheetView>
  </sheetViews>
  <sheetFormatPr defaultColWidth="3.125" defaultRowHeight="15.75"/>
  <cols>
    <col min="1" max="3" width="3.125" style="2"/>
    <col min="4" max="4" width="3.25" style="2" customWidth="1"/>
    <col min="5" max="10" width="3.125" style="2"/>
    <col min="11" max="11" width="3.125" style="2" customWidth="1"/>
    <col min="12" max="16384" width="3.125" style="2"/>
  </cols>
  <sheetData>
    <row r="1" spans="1:3">
      <c r="A1" s="2" t="s">
        <v>341</v>
      </c>
    </row>
    <row r="2" spans="1:3">
      <c r="B2" s="2" t="s">
        <v>350</v>
      </c>
    </row>
    <row r="3" spans="1:3">
      <c r="C3" s="2" t="s">
        <v>501</v>
      </c>
    </row>
    <row r="22" spans="3:21">
      <c r="C22" s="2" t="s">
        <v>503</v>
      </c>
    </row>
    <row r="23" spans="3:21">
      <c r="C23" s="2" t="s">
        <v>502</v>
      </c>
    </row>
    <row r="24" spans="3:21">
      <c r="D24" s="19" t="s">
        <v>504</v>
      </c>
      <c r="E24" s="20"/>
      <c r="F24" s="20"/>
      <c r="G24" s="21"/>
      <c r="H24" s="3" t="s">
        <v>505</v>
      </c>
      <c r="I24" s="4"/>
      <c r="J24" s="4"/>
      <c r="K24" s="4"/>
      <c r="L24" s="4"/>
      <c r="M24" s="4"/>
      <c r="N24" s="4"/>
      <c r="O24" s="4"/>
      <c r="P24" s="4"/>
      <c r="Q24" s="4"/>
      <c r="R24" s="4"/>
      <c r="S24" s="4"/>
      <c r="T24" s="4"/>
      <c r="U24" s="10"/>
    </row>
    <row r="25" spans="3:21">
      <c r="D25" s="22"/>
      <c r="E25" s="23"/>
      <c r="F25" s="23"/>
      <c r="G25" s="24"/>
      <c r="H25" s="3" t="s">
        <v>506</v>
      </c>
      <c r="I25" s="4"/>
      <c r="J25" s="4"/>
      <c r="K25" s="4"/>
      <c r="L25" s="4"/>
      <c r="M25" s="4"/>
      <c r="N25" s="4"/>
      <c r="O25" s="4"/>
      <c r="P25" s="4"/>
      <c r="Q25" s="4"/>
      <c r="R25" s="4"/>
      <c r="S25" s="4"/>
      <c r="T25" s="4"/>
      <c r="U25" s="10"/>
    </row>
    <row r="46" spans="2:10">
      <c r="B46" s="2" t="s">
        <v>507</v>
      </c>
    </row>
    <row r="47" spans="2:10">
      <c r="C47" s="26" t="s">
        <v>508</v>
      </c>
      <c r="D47" s="27"/>
      <c r="E47" s="27"/>
      <c r="F47" s="27"/>
      <c r="G47" s="27"/>
      <c r="H47" s="27"/>
      <c r="I47" s="27"/>
      <c r="J47" s="28"/>
    </row>
    <row r="48" spans="2:10">
      <c r="C48" s="3" t="s">
        <v>509</v>
      </c>
      <c r="D48" s="4"/>
      <c r="E48" s="4"/>
      <c r="F48" s="10"/>
      <c r="G48" s="25" t="s">
        <v>510</v>
      </c>
      <c r="H48" s="4"/>
      <c r="I48" s="4"/>
      <c r="J48" s="10"/>
    </row>
    <row r="49" spans="3:11">
      <c r="C49" s="3" t="s">
        <v>509</v>
      </c>
      <c r="D49" s="4"/>
      <c r="E49" s="4"/>
      <c r="F49" s="10"/>
      <c r="G49" s="25" t="s">
        <v>252</v>
      </c>
      <c r="H49" s="4"/>
      <c r="I49" s="4"/>
      <c r="J49" s="10"/>
    </row>
    <row r="50" spans="3:11">
      <c r="C50" s="3" t="s">
        <v>509</v>
      </c>
      <c r="D50" s="4"/>
      <c r="E50" s="4"/>
      <c r="F50" s="10"/>
      <c r="G50" s="25" t="s">
        <v>511</v>
      </c>
      <c r="H50" s="4"/>
      <c r="I50" s="4"/>
      <c r="J50" s="10"/>
    </row>
    <row r="51" spans="3:11">
      <c r="C51" s="3" t="s">
        <v>509</v>
      </c>
      <c r="D51" s="4"/>
      <c r="E51" s="4"/>
      <c r="F51" s="10"/>
      <c r="G51" s="25" t="s">
        <v>512</v>
      </c>
      <c r="H51" s="4"/>
      <c r="I51" s="4"/>
      <c r="J51" s="10"/>
    </row>
    <row r="52" spans="3:11">
      <c r="C52" s="3" t="s">
        <v>509</v>
      </c>
      <c r="D52" s="4"/>
      <c r="E52" s="4"/>
      <c r="F52" s="10"/>
      <c r="G52" s="25" t="s">
        <v>513</v>
      </c>
      <c r="H52" s="4"/>
      <c r="I52" s="4"/>
      <c r="J52" s="10"/>
    </row>
    <row r="53" spans="3:11">
      <c r="C53" s="3" t="s">
        <v>509</v>
      </c>
      <c r="D53" s="4"/>
      <c r="E53" s="4"/>
      <c r="F53" s="10"/>
      <c r="G53" s="25" t="s">
        <v>53</v>
      </c>
      <c r="H53" s="4"/>
      <c r="I53" s="4"/>
      <c r="J53" s="10"/>
    </row>
    <row r="54" spans="3:11" ht="16.5" thickBot="1">
      <c r="C54" s="29" t="s">
        <v>509</v>
      </c>
      <c r="D54" s="30"/>
      <c r="E54" s="30"/>
      <c r="F54" s="31"/>
      <c r="G54" s="32" t="s">
        <v>514</v>
      </c>
      <c r="H54" s="30"/>
      <c r="I54" s="30"/>
      <c r="J54" s="31"/>
    </row>
    <row r="55" spans="3:11">
      <c r="C55" s="33" t="s">
        <v>519</v>
      </c>
      <c r="D55" s="34"/>
      <c r="E55" s="34"/>
      <c r="F55" s="35"/>
      <c r="G55" s="36" t="s">
        <v>515</v>
      </c>
      <c r="H55" s="34"/>
      <c r="I55" s="34"/>
      <c r="J55" s="35"/>
    </row>
    <row r="56" spans="3:11">
      <c r="C56" s="3" t="s">
        <v>519</v>
      </c>
      <c r="D56" s="4"/>
      <c r="E56" s="4"/>
      <c r="F56" s="10"/>
      <c r="G56" s="25" t="s">
        <v>520</v>
      </c>
      <c r="H56" s="4"/>
      <c r="I56" s="4"/>
      <c r="J56" s="10"/>
    </row>
    <row r="57" spans="3:11">
      <c r="C57" s="37" t="s">
        <v>519</v>
      </c>
      <c r="D57" s="38"/>
      <c r="E57" s="38"/>
      <c r="F57" s="39"/>
      <c r="G57" s="40" t="s">
        <v>521</v>
      </c>
      <c r="H57" s="38"/>
      <c r="I57" s="38"/>
      <c r="J57" s="39"/>
      <c r="K57" s="2" t="s">
        <v>524</v>
      </c>
    </row>
    <row r="58" spans="3:11">
      <c r="C58" s="3" t="s">
        <v>519</v>
      </c>
      <c r="D58" s="4"/>
      <c r="E58" s="4"/>
      <c r="F58" s="10"/>
      <c r="G58" s="25" t="s">
        <v>516</v>
      </c>
      <c r="H58" s="4"/>
      <c r="I58" s="4"/>
      <c r="J58" s="10"/>
    </row>
    <row r="59" spans="3:11">
      <c r="C59" s="3" t="s">
        <v>519</v>
      </c>
      <c r="D59" s="4"/>
      <c r="E59" s="4"/>
      <c r="F59" s="10"/>
      <c r="G59" s="25" t="s">
        <v>517</v>
      </c>
      <c r="H59" s="4"/>
      <c r="I59" s="4"/>
      <c r="J59" s="10"/>
    </row>
    <row r="60" spans="3:11" ht="16.5" thickBot="1">
      <c r="C60" s="29" t="s">
        <v>519</v>
      </c>
      <c r="D60" s="30"/>
      <c r="E60" s="30"/>
      <c r="F60" s="31"/>
      <c r="G60" s="32" t="s">
        <v>518</v>
      </c>
      <c r="H60" s="30"/>
      <c r="I60" s="30"/>
      <c r="J60" s="31"/>
    </row>
    <row r="61" spans="3:11">
      <c r="C61" s="33" t="s">
        <v>523</v>
      </c>
      <c r="D61" s="34"/>
      <c r="E61" s="34"/>
      <c r="F61" s="35"/>
      <c r="G61" s="36" t="s">
        <v>522</v>
      </c>
      <c r="H61" s="34"/>
      <c r="I61" s="34"/>
      <c r="J61" s="35"/>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04CE8-8094-4D8A-BE83-A88FAF965978}">
  <dimension ref="A1:L56"/>
  <sheetViews>
    <sheetView showGridLines="0" topLeftCell="A34" zoomScale="130" zoomScaleNormal="130" workbookViewId="0">
      <selection activeCell="A56" sqref="A56"/>
    </sheetView>
  </sheetViews>
  <sheetFormatPr defaultColWidth="3.125" defaultRowHeight="15.75"/>
  <cols>
    <col min="1" max="3" width="3.125" style="2"/>
    <col min="4" max="4" width="3.25" style="2" customWidth="1"/>
    <col min="5" max="10" width="3.125" style="2"/>
    <col min="11" max="11" width="3.125" style="2" customWidth="1"/>
    <col min="12" max="16384" width="3.125" style="2"/>
  </cols>
  <sheetData>
    <row r="1" spans="1:3">
      <c r="A1" s="2" t="s">
        <v>341</v>
      </c>
    </row>
    <row r="2" spans="1:3">
      <c r="B2" s="2" t="s">
        <v>342</v>
      </c>
    </row>
    <row r="3" spans="1:3">
      <c r="C3" s="2" t="s">
        <v>335</v>
      </c>
    </row>
    <row r="4" spans="1:3">
      <c r="C4" s="6" t="s">
        <v>336</v>
      </c>
    </row>
    <row r="6" spans="1:3">
      <c r="B6" s="2" t="s">
        <v>350</v>
      </c>
    </row>
    <row r="27" spans="2:3">
      <c r="C27" s="2" t="s">
        <v>367</v>
      </c>
    </row>
    <row r="29" spans="2:3">
      <c r="B29" s="2" t="s">
        <v>363</v>
      </c>
    </row>
    <row r="30" spans="2:3">
      <c r="C30" s="2" t="s">
        <v>365</v>
      </c>
    </row>
    <row r="31" spans="2:3">
      <c r="C31" s="13" t="s">
        <v>366</v>
      </c>
    </row>
    <row r="33" spans="1:12">
      <c r="A33" s="2" t="s">
        <v>373</v>
      </c>
    </row>
    <row r="34" spans="1:12">
      <c r="B34" s="2" t="s">
        <v>369</v>
      </c>
    </row>
    <row r="35" spans="1:12">
      <c r="C35" s="2" t="s">
        <v>370</v>
      </c>
    </row>
    <row r="36" spans="1:12">
      <c r="D36" s="15" t="s">
        <v>371</v>
      </c>
      <c r="I36" s="2" t="s">
        <v>388</v>
      </c>
    </row>
    <row r="37" spans="1:12">
      <c r="D37" s="15" t="s">
        <v>380</v>
      </c>
    </row>
    <row r="38" spans="1:12">
      <c r="D38" s="15" t="s">
        <v>372</v>
      </c>
    </row>
    <row r="40" spans="1:12">
      <c r="C40" s="2" t="s">
        <v>374</v>
      </c>
    </row>
    <row r="41" spans="1:12">
      <c r="D41" s="16" t="s">
        <v>375</v>
      </c>
    </row>
    <row r="42" spans="1:12">
      <c r="D42" s="16" t="s">
        <v>381</v>
      </c>
      <c r="L42" s="2" t="s">
        <v>382</v>
      </c>
    </row>
    <row r="43" spans="1:12">
      <c r="D43" s="17" t="s">
        <v>385</v>
      </c>
      <c r="K43" s="2" t="s">
        <v>364</v>
      </c>
      <c r="L43" s="18" t="s">
        <v>383</v>
      </c>
    </row>
    <row r="44" spans="1:12">
      <c r="D44" s="17" t="s">
        <v>386</v>
      </c>
      <c r="K44" s="2" t="s">
        <v>364</v>
      </c>
      <c r="L44" s="18" t="s">
        <v>384</v>
      </c>
    </row>
    <row r="45" spans="1:12">
      <c r="D45" s="17" t="s">
        <v>387</v>
      </c>
      <c r="K45" s="2" t="s">
        <v>364</v>
      </c>
      <c r="L45" s="18" t="s">
        <v>384</v>
      </c>
    </row>
    <row r="46" spans="1:12">
      <c r="D46" s="17"/>
    </row>
    <row r="47" spans="1:12">
      <c r="C47" s="2" t="s">
        <v>376</v>
      </c>
    </row>
    <row r="49" spans="1:3">
      <c r="C49" s="2" t="s">
        <v>389</v>
      </c>
    </row>
    <row r="51" spans="1:3">
      <c r="C51" s="2" t="s">
        <v>377</v>
      </c>
    </row>
    <row r="53" spans="1:3">
      <c r="B53" s="2" t="s">
        <v>378</v>
      </c>
    </row>
    <row r="54" spans="1:3">
      <c r="C54" s="2" t="s">
        <v>379</v>
      </c>
    </row>
    <row r="56" spans="1:3">
      <c r="A56" s="2" t="s">
        <v>498</v>
      </c>
    </row>
  </sheetData>
  <phoneticPr fontId="1"/>
  <hyperlinks>
    <hyperlink ref="C4" r:id="rId1" xr:uid="{3A63F8BE-6AFF-404D-89CD-F8C9ABCFEF1E}"/>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BE065-E46C-4B67-A78E-E281D8F7E457}">
  <dimension ref="A1:H36"/>
  <sheetViews>
    <sheetView showGridLines="0" zoomScale="115" zoomScaleNormal="115" workbookViewId="0">
      <selection activeCell="AL8" sqref="AL8"/>
    </sheetView>
  </sheetViews>
  <sheetFormatPr defaultColWidth="3.125" defaultRowHeight="15.75"/>
  <cols>
    <col min="1" max="16384" width="3.125" style="2"/>
  </cols>
  <sheetData>
    <row r="1" spans="1:3">
      <c r="A1" s="2" t="s">
        <v>341</v>
      </c>
    </row>
    <row r="2" spans="1:3">
      <c r="B2" s="2" t="s">
        <v>342</v>
      </c>
    </row>
    <row r="3" spans="1:3">
      <c r="C3" s="2" t="s">
        <v>335</v>
      </c>
    </row>
    <row r="4" spans="1:3">
      <c r="C4" s="6" t="s">
        <v>336</v>
      </c>
    </row>
    <row r="6" spans="1:3">
      <c r="B6" s="2" t="s">
        <v>350</v>
      </c>
    </row>
    <row r="7" spans="1:3">
      <c r="C7" s="2" t="s">
        <v>353</v>
      </c>
    </row>
    <row r="17" spans="2:8">
      <c r="C17" s="2" t="s">
        <v>354</v>
      </c>
    </row>
    <row r="18" spans="2:8">
      <c r="D18" s="2" t="s">
        <v>351</v>
      </c>
      <c r="F18" s="3"/>
      <c r="G18" s="4"/>
      <c r="H18" s="4"/>
    </row>
    <row r="19" spans="2:8">
      <c r="D19" s="2" t="s">
        <v>352</v>
      </c>
      <c r="F19" s="3"/>
      <c r="G19" s="4"/>
      <c r="H19" s="4"/>
    </row>
    <row r="20" spans="2:8">
      <c r="F20" s="2" t="s">
        <v>337</v>
      </c>
    </row>
    <row r="21" spans="2:8">
      <c r="D21" s="13" t="s">
        <v>358</v>
      </c>
    </row>
    <row r="22" spans="2:8">
      <c r="D22" s="13" t="s">
        <v>360</v>
      </c>
    </row>
    <row r="24" spans="2:8">
      <c r="B24" s="2" t="s">
        <v>343</v>
      </c>
    </row>
    <row r="25" spans="2:8">
      <c r="C25" s="2" t="s">
        <v>362</v>
      </c>
    </row>
    <row r="26" spans="2:8">
      <c r="D26" s="7" t="s">
        <v>349</v>
      </c>
      <c r="E26" s="8"/>
      <c r="F26" s="8"/>
      <c r="G26" s="9"/>
    </row>
    <row r="27" spans="2:8">
      <c r="D27" s="3" t="s">
        <v>344</v>
      </c>
      <c r="E27" s="4"/>
      <c r="F27" s="4"/>
      <c r="G27" s="10"/>
    </row>
    <row r="28" spans="2:8">
      <c r="D28" s="3" t="s">
        <v>345</v>
      </c>
      <c r="E28" s="4"/>
      <c r="F28" s="4"/>
      <c r="G28" s="10"/>
    </row>
    <row r="29" spans="2:8">
      <c r="D29" s="3" t="s">
        <v>346</v>
      </c>
      <c r="E29" s="4"/>
      <c r="F29" s="4"/>
      <c r="G29" s="10"/>
    </row>
    <row r="30" spans="2:8">
      <c r="D30" s="3" t="s">
        <v>347</v>
      </c>
      <c r="E30" s="4"/>
      <c r="F30" s="4"/>
      <c r="G30" s="10"/>
    </row>
    <row r="31" spans="2:8">
      <c r="D31" s="3" t="s">
        <v>348</v>
      </c>
      <c r="E31" s="4"/>
      <c r="F31" s="4"/>
      <c r="G31" s="10"/>
      <c r="H31" s="2" t="s">
        <v>361</v>
      </c>
    </row>
    <row r="33" spans="3:3">
      <c r="C33" s="2" t="s">
        <v>359</v>
      </c>
    </row>
    <row r="35" spans="3:3">
      <c r="C35" s="2" t="s">
        <v>355</v>
      </c>
    </row>
    <row r="36" spans="3:3">
      <c r="C36" s="2" t="s">
        <v>356</v>
      </c>
    </row>
  </sheetData>
  <phoneticPr fontId="1"/>
  <hyperlinks>
    <hyperlink ref="C4" r:id="rId1" xr:uid="{09960A36-DA7E-4DC4-8300-43DBAD26FDB5}"/>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6"/>
  <sheetViews>
    <sheetView workbookViewId="0">
      <selection activeCell="M5" sqref="M5"/>
    </sheetView>
  </sheetViews>
  <sheetFormatPr defaultRowHeight="18.75"/>
  <cols>
    <col min="1" max="1" width="19.75" bestFit="1" customWidth="1"/>
    <col min="2" max="3" width="12" customWidth="1"/>
    <col min="4" max="4" width="51.75" bestFit="1" customWidth="1"/>
    <col min="5" max="7" width="11.75" bestFit="1" customWidth="1"/>
    <col min="8" max="8" width="14.75" bestFit="1" customWidth="1"/>
    <col min="9" max="9" width="10.125" bestFit="1" customWidth="1"/>
    <col min="10" max="10" width="11.75" bestFit="1" customWidth="1"/>
    <col min="13" max="13" width="11.75" bestFit="1" customWidth="1"/>
  </cols>
  <sheetData>
    <row r="1" spans="1:52">
      <c r="A1" s="1" t="s">
        <v>0</v>
      </c>
      <c r="B1" s="1" t="s">
        <v>1</v>
      </c>
      <c r="C1" s="1" t="s">
        <v>2</v>
      </c>
      <c r="D1" s="1" t="s">
        <v>3</v>
      </c>
      <c r="E1" s="1" t="s">
        <v>4</v>
      </c>
      <c r="F1" s="14" t="s">
        <v>5</v>
      </c>
      <c r="G1" s="1" t="s">
        <v>6</v>
      </c>
      <c r="H1" s="14" t="s">
        <v>7</v>
      </c>
      <c r="I1" s="1" t="s">
        <v>8</v>
      </c>
      <c r="J1" s="14" t="s">
        <v>9</v>
      </c>
      <c r="K1" s="1" t="s">
        <v>10</v>
      </c>
      <c r="L1" s="1" t="s">
        <v>11</v>
      </c>
      <c r="M1" s="14" t="s">
        <v>499</v>
      </c>
      <c r="N1" s="1" t="s">
        <v>500</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c r="A2" s="1" t="s">
        <v>54</v>
      </c>
      <c r="B2" s="1" t="s">
        <v>52</v>
      </c>
      <c r="C2" s="1" t="s">
        <v>53</v>
      </c>
      <c r="D2" s="1" t="s">
        <v>55</v>
      </c>
      <c r="E2" s="1" t="s">
        <v>55</v>
      </c>
      <c r="F2" s="1" t="s">
        <v>55</v>
      </c>
      <c r="G2" s="1" t="s">
        <v>55</v>
      </c>
      <c r="H2" s="1" t="s">
        <v>55</v>
      </c>
      <c r="I2" s="1" t="s">
        <v>56</v>
      </c>
      <c r="J2" s="1" t="s">
        <v>57</v>
      </c>
      <c r="K2" s="1" t="s">
        <v>58</v>
      </c>
      <c r="L2" s="1" t="s">
        <v>59</v>
      </c>
      <c r="M2" s="1" t="s">
        <v>55</v>
      </c>
      <c r="N2" s="1" t="s">
        <v>55</v>
      </c>
      <c r="O2" s="1" t="s">
        <v>55</v>
      </c>
      <c r="P2" s="1" t="s">
        <v>55</v>
      </c>
      <c r="Q2" s="1" t="s">
        <v>55</v>
      </c>
      <c r="R2" s="1" t="s">
        <v>55</v>
      </c>
      <c r="S2" s="1" t="s">
        <v>55</v>
      </c>
      <c r="T2" s="1" t="s">
        <v>55</v>
      </c>
      <c r="U2" s="1" t="s">
        <v>55</v>
      </c>
      <c r="V2" s="1" t="s">
        <v>55</v>
      </c>
      <c r="W2" s="1" t="s">
        <v>55</v>
      </c>
      <c r="X2" s="1" t="s">
        <v>55</v>
      </c>
      <c r="Y2" s="1" t="s">
        <v>55</v>
      </c>
      <c r="Z2" s="1" t="s">
        <v>55</v>
      </c>
      <c r="AA2" s="1" t="s">
        <v>55</v>
      </c>
      <c r="AB2" s="1" t="s">
        <v>55</v>
      </c>
      <c r="AC2" s="1" t="s">
        <v>55</v>
      </c>
      <c r="AD2" s="1" t="s">
        <v>55</v>
      </c>
      <c r="AE2" s="1" t="s">
        <v>55</v>
      </c>
      <c r="AF2" s="1" t="s">
        <v>55</v>
      </c>
      <c r="AG2" s="1" t="s">
        <v>55</v>
      </c>
      <c r="AH2" s="1" t="s">
        <v>55</v>
      </c>
      <c r="AI2" s="1" t="s">
        <v>55</v>
      </c>
      <c r="AJ2" s="1" t="s">
        <v>55</v>
      </c>
      <c r="AK2" s="1" t="s">
        <v>55</v>
      </c>
      <c r="AL2" s="1" t="s">
        <v>55</v>
      </c>
      <c r="AM2" s="1" t="s">
        <v>55</v>
      </c>
      <c r="AN2" s="1" t="s">
        <v>55</v>
      </c>
      <c r="AO2" s="1" t="s">
        <v>55</v>
      </c>
      <c r="AP2" s="1" t="s">
        <v>55</v>
      </c>
      <c r="AQ2" s="1" t="s">
        <v>55</v>
      </c>
      <c r="AR2" s="1" t="s">
        <v>55</v>
      </c>
      <c r="AS2" s="1" t="s">
        <v>55</v>
      </c>
      <c r="AT2" s="1" t="s">
        <v>55</v>
      </c>
      <c r="AU2" s="1" t="s">
        <v>55</v>
      </c>
      <c r="AV2" s="1" t="s">
        <v>55</v>
      </c>
      <c r="AW2" s="1" t="s">
        <v>55</v>
      </c>
      <c r="AX2" s="1" t="s">
        <v>55</v>
      </c>
      <c r="AY2" s="1" t="s">
        <v>55</v>
      </c>
      <c r="AZ2" s="1" t="s">
        <v>55</v>
      </c>
    </row>
    <row r="3" spans="1:52">
      <c r="A3" s="1" t="s">
        <v>60</v>
      </c>
      <c r="B3" s="1" t="s">
        <v>52</v>
      </c>
      <c r="C3" s="1" t="s">
        <v>53</v>
      </c>
      <c r="D3" s="1" t="s">
        <v>61</v>
      </c>
      <c r="E3" s="1" t="s">
        <v>62</v>
      </c>
      <c r="F3" s="1" t="s">
        <v>63</v>
      </c>
      <c r="G3" s="1" t="s">
        <v>64</v>
      </c>
      <c r="H3" s="1" t="s">
        <v>65</v>
      </c>
      <c r="I3" s="1" t="s">
        <v>66</v>
      </c>
      <c r="J3" s="1" t="s">
        <v>57</v>
      </c>
      <c r="K3" s="1" t="s">
        <v>58</v>
      </c>
      <c r="L3" s="1" t="s">
        <v>67</v>
      </c>
      <c r="M3" s="1" t="s">
        <v>55</v>
      </c>
      <c r="N3" s="1" t="s">
        <v>55</v>
      </c>
      <c r="O3" s="1" t="s">
        <v>55</v>
      </c>
      <c r="P3" s="1" t="s">
        <v>55</v>
      </c>
      <c r="Q3" s="1" t="s">
        <v>55</v>
      </c>
      <c r="R3" s="1" t="s">
        <v>55</v>
      </c>
      <c r="S3" s="1" t="s">
        <v>55</v>
      </c>
      <c r="T3" s="1" t="s">
        <v>55</v>
      </c>
      <c r="U3" s="1" t="s">
        <v>55</v>
      </c>
      <c r="V3" s="1" t="s">
        <v>55</v>
      </c>
      <c r="W3" s="1" t="s">
        <v>55</v>
      </c>
      <c r="X3" s="1" t="s">
        <v>55</v>
      </c>
      <c r="Y3" s="1" t="s">
        <v>55</v>
      </c>
      <c r="Z3" s="1" t="s">
        <v>55</v>
      </c>
      <c r="AA3" s="1" t="s">
        <v>55</v>
      </c>
      <c r="AB3" s="1" t="s">
        <v>55</v>
      </c>
      <c r="AC3" s="1" t="s">
        <v>55</v>
      </c>
      <c r="AD3" s="1" t="s">
        <v>55</v>
      </c>
      <c r="AE3" s="1" t="s">
        <v>55</v>
      </c>
      <c r="AF3" s="1" t="s">
        <v>55</v>
      </c>
      <c r="AG3" s="1" t="s">
        <v>55</v>
      </c>
      <c r="AH3" s="1" t="s">
        <v>55</v>
      </c>
      <c r="AI3" s="1" t="s">
        <v>55</v>
      </c>
      <c r="AJ3" s="1" t="s">
        <v>55</v>
      </c>
      <c r="AK3" s="1" t="s">
        <v>55</v>
      </c>
      <c r="AL3" s="1" t="s">
        <v>55</v>
      </c>
      <c r="AM3" s="1" t="s">
        <v>55</v>
      </c>
      <c r="AN3" s="1" t="s">
        <v>55</v>
      </c>
      <c r="AO3" s="1" t="s">
        <v>55</v>
      </c>
      <c r="AP3" s="1" t="s">
        <v>55</v>
      </c>
      <c r="AQ3" s="1" t="s">
        <v>55</v>
      </c>
      <c r="AR3" s="1" t="s">
        <v>55</v>
      </c>
      <c r="AS3" s="1" t="s">
        <v>55</v>
      </c>
      <c r="AT3" s="1" t="s">
        <v>55</v>
      </c>
      <c r="AU3" s="1" t="s">
        <v>55</v>
      </c>
      <c r="AV3" s="1" t="s">
        <v>55</v>
      </c>
      <c r="AW3" s="1" t="s">
        <v>55</v>
      </c>
      <c r="AX3" s="1" t="s">
        <v>55</v>
      </c>
      <c r="AY3" s="1" t="s">
        <v>55</v>
      </c>
      <c r="AZ3" s="1" t="s">
        <v>68</v>
      </c>
    </row>
    <row r="4" spans="1:52">
      <c r="A4" s="1" t="s">
        <v>69</v>
      </c>
      <c r="B4" s="1" t="s">
        <v>52</v>
      </c>
      <c r="C4" s="1" t="s">
        <v>53</v>
      </c>
      <c r="D4" s="1" t="s">
        <v>61</v>
      </c>
      <c r="E4" s="1" t="s">
        <v>70</v>
      </c>
      <c r="F4" s="1" t="s">
        <v>71</v>
      </c>
      <c r="G4" s="1" t="s">
        <v>72</v>
      </c>
      <c r="H4" s="1" t="s">
        <v>73</v>
      </c>
      <c r="I4" s="1" t="s">
        <v>74</v>
      </c>
      <c r="J4" s="1" t="s">
        <v>57</v>
      </c>
      <c r="K4" s="1" t="s">
        <v>58</v>
      </c>
      <c r="L4" s="1" t="s">
        <v>67</v>
      </c>
      <c r="M4" s="1" t="s">
        <v>61</v>
      </c>
      <c r="N4" s="1" t="s">
        <v>75</v>
      </c>
      <c r="O4" s="1" t="s">
        <v>55</v>
      </c>
      <c r="P4" s="1" t="s">
        <v>55</v>
      </c>
      <c r="Q4" s="1" t="s">
        <v>55</v>
      </c>
      <c r="R4" s="1" t="s">
        <v>55</v>
      </c>
      <c r="S4" s="1" t="s">
        <v>55</v>
      </c>
      <c r="T4" s="1" t="s">
        <v>55</v>
      </c>
      <c r="U4" s="1" t="s">
        <v>61</v>
      </c>
      <c r="V4" s="1" t="s">
        <v>55</v>
      </c>
      <c r="W4" s="1" t="s">
        <v>55</v>
      </c>
      <c r="X4" s="1" t="s">
        <v>55</v>
      </c>
      <c r="Y4" s="1" t="s">
        <v>55</v>
      </c>
      <c r="Z4" s="1" t="s">
        <v>55</v>
      </c>
      <c r="AA4" s="1" t="s">
        <v>55</v>
      </c>
      <c r="AB4" s="1" t="s">
        <v>55</v>
      </c>
      <c r="AC4" s="1" t="s">
        <v>55</v>
      </c>
      <c r="AD4" s="1" t="s">
        <v>55</v>
      </c>
      <c r="AE4" s="1" t="s">
        <v>55</v>
      </c>
      <c r="AF4" s="1" t="s">
        <v>55</v>
      </c>
      <c r="AG4" s="1" t="s">
        <v>55</v>
      </c>
      <c r="AH4" s="1" t="s">
        <v>55</v>
      </c>
      <c r="AI4" s="1" t="s">
        <v>55</v>
      </c>
      <c r="AJ4" s="1" t="s">
        <v>55</v>
      </c>
      <c r="AK4" s="1" t="s">
        <v>55</v>
      </c>
      <c r="AL4" s="1" t="s">
        <v>55</v>
      </c>
      <c r="AM4" s="1" t="s">
        <v>55</v>
      </c>
      <c r="AN4" s="1" t="s">
        <v>55</v>
      </c>
      <c r="AO4" s="1" t="s">
        <v>55</v>
      </c>
      <c r="AP4" s="1" t="s">
        <v>55</v>
      </c>
      <c r="AQ4" s="1" t="s">
        <v>55</v>
      </c>
      <c r="AR4" s="1" t="s">
        <v>55</v>
      </c>
      <c r="AS4" s="1" t="s">
        <v>55</v>
      </c>
      <c r="AT4" s="1" t="s">
        <v>55</v>
      </c>
      <c r="AU4" s="1" t="s">
        <v>55</v>
      </c>
      <c r="AV4" s="1" t="s">
        <v>55</v>
      </c>
      <c r="AW4" s="1" t="s">
        <v>55</v>
      </c>
      <c r="AX4" s="1" t="s">
        <v>55</v>
      </c>
      <c r="AY4" s="1" t="s">
        <v>55</v>
      </c>
      <c r="AZ4" s="1" t="s">
        <v>76</v>
      </c>
    </row>
    <row r="5" spans="1:52">
      <c r="A5" s="1" t="s">
        <v>77</v>
      </c>
      <c r="B5" s="1" t="s">
        <v>52</v>
      </c>
      <c r="C5" s="1" t="s">
        <v>53</v>
      </c>
      <c r="D5" s="1" t="s">
        <v>61</v>
      </c>
      <c r="E5" s="1" t="s">
        <v>78</v>
      </c>
      <c r="F5" s="1" t="s">
        <v>79</v>
      </c>
      <c r="G5" s="1" t="s">
        <v>80</v>
      </c>
      <c r="H5" s="1" t="s">
        <v>81</v>
      </c>
      <c r="I5" s="1" t="s">
        <v>82</v>
      </c>
      <c r="J5" s="1" t="s">
        <v>57</v>
      </c>
      <c r="K5" s="1" t="s">
        <v>58</v>
      </c>
      <c r="L5" s="1" t="s">
        <v>83</v>
      </c>
      <c r="M5" s="1" t="s">
        <v>84</v>
      </c>
      <c r="N5" s="1" t="s">
        <v>85</v>
      </c>
      <c r="O5" s="1" t="s">
        <v>55</v>
      </c>
      <c r="P5" s="1" t="s">
        <v>55</v>
      </c>
      <c r="Q5" s="1" t="s">
        <v>55</v>
      </c>
      <c r="R5" s="1" t="s">
        <v>55</v>
      </c>
      <c r="S5" s="1" t="s">
        <v>55</v>
      </c>
      <c r="T5" s="1" t="s">
        <v>55</v>
      </c>
      <c r="U5" s="1" t="s">
        <v>61</v>
      </c>
      <c r="V5" s="1" t="s">
        <v>55</v>
      </c>
      <c r="W5" s="1" t="s">
        <v>55</v>
      </c>
      <c r="X5" s="1" t="s">
        <v>55</v>
      </c>
      <c r="Y5" s="1" t="s">
        <v>55</v>
      </c>
      <c r="Z5" s="1" t="s">
        <v>55</v>
      </c>
      <c r="AA5" s="1" t="s">
        <v>55</v>
      </c>
      <c r="AB5" s="1" t="s">
        <v>55</v>
      </c>
      <c r="AC5" s="1" t="s">
        <v>55</v>
      </c>
      <c r="AD5" s="1" t="s">
        <v>55</v>
      </c>
      <c r="AE5" s="1" t="s">
        <v>55</v>
      </c>
      <c r="AF5" s="1" t="s">
        <v>55</v>
      </c>
      <c r="AG5" s="1" t="s">
        <v>55</v>
      </c>
      <c r="AH5" s="1" t="s">
        <v>61</v>
      </c>
      <c r="AI5" s="1" t="s">
        <v>55</v>
      </c>
      <c r="AJ5" s="1" t="s">
        <v>55</v>
      </c>
      <c r="AK5" s="1" t="s">
        <v>55</v>
      </c>
      <c r="AL5" s="1" t="s">
        <v>55</v>
      </c>
      <c r="AM5" s="1" t="s">
        <v>55</v>
      </c>
      <c r="AN5" s="1" t="s">
        <v>55</v>
      </c>
      <c r="AO5" s="1" t="s">
        <v>55</v>
      </c>
      <c r="AP5" s="1" t="s">
        <v>55</v>
      </c>
      <c r="AQ5" s="1" t="s">
        <v>55</v>
      </c>
      <c r="AR5" s="1" t="s">
        <v>55</v>
      </c>
      <c r="AS5" s="1" t="s">
        <v>55</v>
      </c>
      <c r="AT5" s="1" t="s">
        <v>55</v>
      </c>
      <c r="AU5" s="1" t="s">
        <v>55</v>
      </c>
      <c r="AV5" s="1" t="s">
        <v>55</v>
      </c>
      <c r="AW5" s="1" t="s">
        <v>55</v>
      </c>
      <c r="AX5" s="1" t="s">
        <v>55</v>
      </c>
      <c r="AY5" s="1" t="s">
        <v>55</v>
      </c>
      <c r="AZ5" s="1" t="s">
        <v>86</v>
      </c>
    </row>
    <row r="6" spans="1:52">
      <c r="A6" s="1" t="s">
        <v>87</v>
      </c>
      <c r="B6" s="1" t="s">
        <v>52</v>
      </c>
      <c r="C6" s="1" t="s">
        <v>53</v>
      </c>
      <c r="D6" s="1" t="s">
        <v>61</v>
      </c>
      <c r="E6" s="1" t="s">
        <v>88</v>
      </c>
      <c r="F6" s="1" t="s">
        <v>89</v>
      </c>
      <c r="G6" s="1" t="s">
        <v>90</v>
      </c>
      <c r="H6" s="1" t="s">
        <v>91</v>
      </c>
      <c r="I6" s="1" t="s">
        <v>92</v>
      </c>
      <c r="J6" s="1" t="s">
        <v>57</v>
      </c>
      <c r="K6" s="1" t="s">
        <v>58</v>
      </c>
      <c r="L6" s="1" t="s">
        <v>83</v>
      </c>
      <c r="M6" s="1" t="s">
        <v>84</v>
      </c>
      <c r="N6" s="1" t="s">
        <v>93</v>
      </c>
      <c r="O6" s="1" t="s">
        <v>55</v>
      </c>
      <c r="P6" s="1" t="s">
        <v>55</v>
      </c>
      <c r="Q6" s="1" t="s">
        <v>55</v>
      </c>
      <c r="R6" s="1" t="s">
        <v>55</v>
      </c>
      <c r="S6" s="1" t="s">
        <v>55</v>
      </c>
      <c r="T6" s="1" t="s">
        <v>55</v>
      </c>
      <c r="U6" s="1" t="s">
        <v>61</v>
      </c>
      <c r="V6" s="1" t="s">
        <v>55</v>
      </c>
      <c r="W6" s="1" t="s">
        <v>55</v>
      </c>
      <c r="X6" s="1" t="s">
        <v>55</v>
      </c>
      <c r="Y6" s="1" t="s">
        <v>55</v>
      </c>
      <c r="Z6" s="1" t="s">
        <v>55</v>
      </c>
      <c r="AA6" s="1" t="s">
        <v>55</v>
      </c>
      <c r="AB6" s="1" t="s">
        <v>55</v>
      </c>
      <c r="AC6" s="1" t="s">
        <v>55</v>
      </c>
      <c r="AD6" s="1" t="s">
        <v>55</v>
      </c>
      <c r="AE6" s="1" t="s">
        <v>55</v>
      </c>
      <c r="AF6" s="1" t="s">
        <v>55</v>
      </c>
      <c r="AG6" s="1" t="s">
        <v>55</v>
      </c>
      <c r="AH6" s="1" t="s">
        <v>61</v>
      </c>
      <c r="AI6" s="1" t="s">
        <v>55</v>
      </c>
      <c r="AJ6" s="1" t="s">
        <v>55</v>
      </c>
      <c r="AK6" s="1" t="s">
        <v>55</v>
      </c>
      <c r="AL6" s="1" t="s">
        <v>55</v>
      </c>
      <c r="AM6" s="1" t="s">
        <v>55</v>
      </c>
      <c r="AN6" s="1" t="s">
        <v>55</v>
      </c>
      <c r="AO6" s="1" t="s">
        <v>55</v>
      </c>
      <c r="AP6" s="1" t="s">
        <v>55</v>
      </c>
      <c r="AQ6" s="1" t="s">
        <v>55</v>
      </c>
      <c r="AR6" s="1" t="s">
        <v>55</v>
      </c>
      <c r="AS6" s="1" t="s">
        <v>55</v>
      </c>
      <c r="AT6" s="1" t="s">
        <v>55</v>
      </c>
      <c r="AU6" s="1" t="s">
        <v>55</v>
      </c>
      <c r="AV6" s="1" t="s">
        <v>55</v>
      </c>
      <c r="AW6" s="1" t="s">
        <v>55</v>
      </c>
      <c r="AX6" s="1" t="s">
        <v>55</v>
      </c>
      <c r="AY6" s="1" t="s">
        <v>55</v>
      </c>
      <c r="AZ6" s="1" t="s">
        <v>94</v>
      </c>
    </row>
    <row r="7" spans="1:52">
      <c r="A7" s="1" t="s">
        <v>95</v>
      </c>
      <c r="B7" s="1" t="s">
        <v>52</v>
      </c>
      <c r="C7" s="1" t="s">
        <v>53</v>
      </c>
      <c r="D7" s="1" t="s">
        <v>61</v>
      </c>
      <c r="E7" s="1" t="s">
        <v>96</v>
      </c>
      <c r="F7" s="1" t="s">
        <v>97</v>
      </c>
      <c r="G7" s="1" t="s">
        <v>98</v>
      </c>
      <c r="H7" s="1" t="s">
        <v>99</v>
      </c>
      <c r="I7" s="1" t="s">
        <v>100</v>
      </c>
      <c r="J7" s="1" t="s">
        <v>57</v>
      </c>
      <c r="K7" s="1" t="s">
        <v>58</v>
      </c>
      <c r="L7" s="1" t="s">
        <v>83</v>
      </c>
      <c r="M7" s="1" t="s">
        <v>84</v>
      </c>
      <c r="N7" s="1" t="s">
        <v>101</v>
      </c>
      <c r="O7" s="1" t="s">
        <v>55</v>
      </c>
      <c r="P7" s="1" t="s">
        <v>55</v>
      </c>
      <c r="Q7" s="1" t="s">
        <v>55</v>
      </c>
      <c r="R7" s="1" t="s">
        <v>55</v>
      </c>
      <c r="S7" s="1" t="s">
        <v>55</v>
      </c>
      <c r="T7" s="1" t="s">
        <v>55</v>
      </c>
      <c r="U7" s="1" t="s">
        <v>61</v>
      </c>
      <c r="V7" s="1" t="s">
        <v>55</v>
      </c>
      <c r="W7" s="1" t="s">
        <v>55</v>
      </c>
      <c r="X7" s="1" t="s">
        <v>55</v>
      </c>
      <c r="Y7" s="1" t="s">
        <v>55</v>
      </c>
      <c r="Z7" s="1" t="s">
        <v>55</v>
      </c>
      <c r="AA7" s="1" t="s">
        <v>55</v>
      </c>
      <c r="AB7" s="1" t="s">
        <v>55</v>
      </c>
      <c r="AC7" s="1" t="s">
        <v>55</v>
      </c>
      <c r="AD7" s="1" t="s">
        <v>55</v>
      </c>
      <c r="AE7" s="1" t="s">
        <v>55</v>
      </c>
      <c r="AF7" s="1" t="s">
        <v>55</v>
      </c>
      <c r="AG7" s="1" t="s">
        <v>55</v>
      </c>
      <c r="AH7" s="1" t="s">
        <v>61</v>
      </c>
      <c r="AI7" s="1" t="s">
        <v>55</v>
      </c>
      <c r="AJ7" s="1" t="s">
        <v>55</v>
      </c>
      <c r="AK7" s="1" t="s">
        <v>55</v>
      </c>
      <c r="AL7" s="1" t="s">
        <v>55</v>
      </c>
      <c r="AM7" s="1" t="s">
        <v>55</v>
      </c>
      <c r="AN7" s="1" t="s">
        <v>55</v>
      </c>
      <c r="AO7" s="1" t="s">
        <v>55</v>
      </c>
      <c r="AP7" s="1" t="s">
        <v>55</v>
      </c>
      <c r="AQ7" s="1" t="s">
        <v>55</v>
      </c>
      <c r="AR7" s="1" t="s">
        <v>55</v>
      </c>
      <c r="AS7" s="1" t="s">
        <v>55</v>
      </c>
      <c r="AT7" s="1" t="s">
        <v>55</v>
      </c>
      <c r="AU7" s="1" t="s">
        <v>55</v>
      </c>
      <c r="AV7" s="1" t="s">
        <v>55</v>
      </c>
      <c r="AW7" s="1" t="s">
        <v>55</v>
      </c>
      <c r="AX7" s="1" t="s">
        <v>55</v>
      </c>
      <c r="AY7" s="1" t="s">
        <v>55</v>
      </c>
      <c r="AZ7" s="1" t="s">
        <v>102</v>
      </c>
    </row>
    <row r="8" spans="1:52">
      <c r="A8" s="1" t="s">
        <v>103</v>
      </c>
      <c r="B8" s="1" t="s">
        <v>52</v>
      </c>
      <c r="C8" s="1" t="s">
        <v>53</v>
      </c>
      <c r="D8" s="1" t="s">
        <v>61</v>
      </c>
      <c r="E8" s="1" t="s">
        <v>104</v>
      </c>
      <c r="F8" s="1" t="s">
        <v>105</v>
      </c>
      <c r="G8" s="1" t="s">
        <v>106</v>
      </c>
      <c r="H8" s="1" t="s">
        <v>107</v>
      </c>
      <c r="I8" s="1" t="s">
        <v>108</v>
      </c>
      <c r="J8" s="1" t="s">
        <v>57</v>
      </c>
      <c r="K8" s="1" t="s">
        <v>58</v>
      </c>
      <c r="L8" s="1" t="s">
        <v>83</v>
      </c>
      <c r="M8" s="1" t="s">
        <v>109</v>
      </c>
      <c r="N8" s="1" t="s">
        <v>110</v>
      </c>
      <c r="O8" s="1" t="s">
        <v>55</v>
      </c>
      <c r="P8" s="1" t="s">
        <v>55</v>
      </c>
      <c r="Q8" s="1" t="s">
        <v>55</v>
      </c>
      <c r="R8" s="1" t="s">
        <v>55</v>
      </c>
      <c r="S8" s="1" t="s">
        <v>55</v>
      </c>
      <c r="T8" s="1" t="s">
        <v>55</v>
      </c>
      <c r="U8" s="1" t="s">
        <v>84</v>
      </c>
      <c r="V8" s="1" t="s">
        <v>55</v>
      </c>
      <c r="W8" s="1" t="s">
        <v>55</v>
      </c>
      <c r="X8" s="1" t="s">
        <v>55</v>
      </c>
      <c r="Y8" s="1" t="s">
        <v>55</v>
      </c>
      <c r="Z8" s="1" t="s">
        <v>55</v>
      </c>
      <c r="AA8" s="1" t="s">
        <v>55</v>
      </c>
      <c r="AB8" s="1" t="s">
        <v>55</v>
      </c>
      <c r="AC8" s="1" t="s">
        <v>55</v>
      </c>
      <c r="AD8" s="1" t="s">
        <v>55</v>
      </c>
      <c r="AE8" s="1" t="s">
        <v>55</v>
      </c>
      <c r="AF8" s="1" t="s">
        <v>55</v>
      </c>
      <c r="AG8" s="1" t="s">
        <v>55</v>
      </c>
      <c r="AH8" s="1" t="s">
        <v>61</v>
      </c>
      <c r="AI8" s="1" t="s">
        <v>55</v>
      </c>
      <c r="AJ8" s="1" t="s">
        <v>55</v>
      </c>
      <c r="AK8" s="1" t="s">
        <v>55</v>
      </c>
      <c r="AL8" s="1" t="s">
        <v>55</v>
      </c>
      <c r="AM8" s="1" t="s">
        <v>55</v>
      </c>
      <c r="AN8" s="1" t="s">
        <v>55</v>
      </c>
      <c r="AO8" s="1" t="s">
        <v>55</v>
      </c>
      <c r="AP8" s="1" t="s">
        <v>55</v>
      </c>
      <c r="AQ8" s="1" t="s">
        <v>55</v>
      </c>
      <c r="AR8" s="1" t="s">
        <v>55</v>
      </c>
      <c r="AS8" s="1" t="s">
        <v>55</v>
      </c>
      <c r="AT8" s="1" t="s">
        <v>55</v>
      </c>
      <c r="AU8" s="1" t="s">
        <v>55</v>
      </c>
      <c r="AV8" s="1" t="s">
        <v>55</v>
      </c>
      <c r="AW8" s="1" t="s">
        <v>55</v>
      </c>
      <c r="AX8" s="1" t="s">
        <v>55</v>
      </c>
      <c r="AY8" s="1" t="s">
        <v>55</v>
      </c>
      <c r="AZ8" s="1" t="s">
        <v>111</v>
      </c>
    </row>
    <row r="9" spans="1:52">
      <c r="A9" s="1" t="s">
        <v>112</v>
      </c>
      <c r="B9" s="1" t="s">
        <v>52</v>
      </c>
      <c r="C9" s="1" t="s">
        <v>53</v>
      </c>
      <c r="D9" s="1" t="s">
        <v>61</v>
      </c>
      <c r="E9" s="1" t="s">
        <v>113</v>
      </c>
      <c r="F9" s="1" t="s">
        <v>114</v>
      </c>
      <c r="G9" s="1" t="s">
        <v>115</v>
      </c>
      <c r="H9" s="1" t="s">
        <v>116</v>
      </c>
      <c r="I9" s="1" t="s">
        <v>117</v>
      </c>
      <c r="J9" s="1" t="s">
        <v>57</v>
      </c>
      <c r="K9" s="1" t="s">
        <v>58</v>
      </c>
      <c r="L9" s="1" t="s">
        <v>118</v>
      </c>
      <c r="M9" s="1" t="s">
        <v>68</v>
      </c>
      <c r="N9" s="1" t="s">
        <v>119</v>
      </c>
      <c r="O9" s="1" t="s">
        <v>55</v>
      </c>
      <c r="P9" s="1" t="s">
        <v>55</v>
      </c>
      <c r="Q9" s="1" t="s">
        <v>55</v>
      </c>
      <c r="R9" s="1" t="s">
        <v>55</v>
      </c>
      <c r="S9" s="1" t="s">
        <v>55</v>
      </c>
      <c r="T9" s="1" t="s">
        <v>55</v>
      </c>
      <c r="U9" s="1" t="s">
        <v>109</v>
      </c>
      <c r="V9" s="1" t="s">
        <v>55</v>
      </c>
      <c r="W9" s="1" t="s">
        <v>55</v>
      </c>
      <c r="X9" s="1" t="s">
        <v>55</v>
      </c>
      <c r="Y9" s="1" t="s">
        <v>55</v>
      </c>
      <c r="Z9" s="1" t="s">
        <v>55</v>
      </c>
      <c r="AA9" s="1" t="s">
        <v>55</v>
      </c>
      <c r="AB9" s="1" t="s">
        <v>55</v>
      </c>
      <c r="AC9" s="1" t="s">
        <v>55</v>
      </c>
      <c r="AD9" s="1" t="s">
        <v>55</v>
      </c>
      <c r="AE9" s="1" t="s">
        <v>55</v>
      </c>
      <c r="AF9" s="1" t="s">
        <v>55</v>
      </c>
      <c r="AG9" s="1" t="s">
        <v>55</v>
      </c>
      <c r="AH9" s="1" t="s">
        <v>61</v>
      </c>
      <c r="AI9" s="1" t="s">
        <v>55</v>
      </c>
      <c r="AJ9" s="1" t="s">
        <v>55</v>
      </c>
      <c r="AK9" s="1" t="s">
        <v>55</v>
      </c>
      <c r="AL9" s="1" t="s">
        <v>55</v>
      </c>
      <c r="AM9" s="1" t="s">
        <v>55</v>
      </c>
      <c r="AN9" s="1" t="s">
        <v>55</v>
      </c>
      <c r="AO9" s="1" t="s">
        <v>55</v>
      </c>
      <c r="AP9" s="1" t="s">
        <v>55</v>
      </c>
      <c r="AQ9" s="1" t="s">
        <v>55</v>
      </c>
      <c r="AR9" s="1" t="s">
        <v>55</v>
      </c>
      <c r="AS9" s="1" t="s">
        <v>55</v>
      </c>
      <c r="AT9" s="1" t="s">
        <v>55</v>
      </c>
      <c r="AU9" s="1" t="s">
        <v>55</v>
      </c>
      <c r="AV9" s="1" t="s">
        <v>55</v>
      </c>
      <c r="AW9" s="1" t="s">
        <v>55</v>
      </c>
      <c r="AX9" s="1" t="s">
        <v>55</v>
      </c>
      <c r="AY9" s="1" t="s">
        <v>55</v>
      </c>
      <c r="AZ9" s="1" t="s">
        <v>120</v>
      </c>
    </row>
    <row r="10" spans="1:52">
      <c r="A10" s="1" t="s">
        <v>121</v>
      </c>
      <c r="B10" s="1" t="s">
        <v>52</v>
      </c>
      <c r="C10" s="1" t="s">
        <v>53</v>
      </c>
      <c r="D10" s="1" t="s">
        <v>61</v>
      </c>
      <c r="E10" s="1" t="s">
        <v>122</v>
      </c>
      <c r="F10" s="1" t="s">
        <v>123</v>
      </c>
      <c r="G10" s="1" t="s">
        <v>124</v>
      </c>
      <c r="H10" s="1" t="s">
        <v>125</v>
      </c>
      <c r="I10" s="1" t="s">
        <v>126</v>
      </c>
      <c r="J10" s="1" t="s">
        <v>57</v>
      </c>
      <c r="K10" s="1" t="s">
        <v>58</v>
      </c>
      <c r="L10" s="1" t="s">
        <v>127</v>
      </c>
      <c r="M10" s="1" t="s">
        <v>68</v>
      </c>
      <c r="N10" s="1" t="s">
        <v>128</v>
      </c>
      <c r="O10" s="1" t="s">
        <v>55</v>
      </c>
      <c r="P10" s="1" t="s">
        <v>55</v>
      </c>
      <c r="Q10" s="1" t="s">
        <v>55</v>
      </c>
      <c r="R10" s="1" t="s">
        <v>55</v>
      </c>
      <c r="S10" s="1" t="s">
        <v>55</v>
      </c>
      <c r="T10" s="1" t="s">
        <v>55</v>
      </c>
      <c r="U10" s="1" t="s">
        <v>109</v>
      </c>
      <c r="V10" s="1" t="s">
        <v>55</v>
      </c>
      <c r="W10" s="1" t="s">
        <v>55</v>
      </c>
      <c r="X10" s="1" t="s">
        <v>55</v>
      </c>
      <c r="Y10" s="1" t="s">
        <v>55</v>
      </c>
      <c r="Z10" s="1" t="s">
        <v>55</v>
      </c>
      <c r="AA10" s="1" t="s">
        <v>55</v>
      </c>
      <c r="AB10" s="1" t="s">
        <v>55</v>
      </c>
      <c r="AC10" s="1" t="s">
        <v>55</v>
      </c>
      <c r="AD10" s="1" t="s">
        <v>55</v>
      </c>
      <c r="AE10" s="1" t="s">
        <v>55</v>
      </c>
      <c r="AF10" s="1" t="s">
        <v>55</v>
      </c>
      <c r="AG10" s="1" t="s">
        <v>55</v>
      </c>
      <c r="AH10" s="1" t="s">
        <v>61</v>
      </c>
      <c r="AI10" s="1" t="s">
        <v>55</v>
      </c>
      <c r="AJ10" s="1" t="s">
        <v>55</v>
      </c>
      <c r="AK10" s="1" t="s">
        <v>55</v>
      </c>
      <c r="AL10" s="1" t="s">
        <v>55</v>
      </c>
      <c r="AM10" s="1" t="s">
        <v>55</v>
      </c>
      <c r="AN10" s="1" t="s">
        <v>55</v>
      </c>
      <c r="AO10" s="1" t="s">
        <v>55</v>
      </c>
      <c r="AP10" s="1" t="s">
        <v>55</v>
      </c>
      <c r="AQ10" s="1" t="s">
        <v>55</v>
      </c>
      <c r="AR10" s="1" t="s">
        <v>55</v>
      </c>
      <c r="AS10" s="1" t="s">
        <v>55</v>
      </c>
      <c r="AT10" s="1" t="s">
        <v>55</v>
      </c>
      <c r="AU10" s="1" t="s">
        <v>55</v>
      </c>
      <c r="AV10" s="1" t="s">
        <v>55</v>
      </c>
      <c r="AW10" s="1" t="s">
        <v>55</v>
      </c>
      <c r="AX10" s="1" t="s">
        <v>55</v>
      </c>
      <c r="AY10" s="1" t="s">
        <v>55</v>
      </c>
      <c r="AZ10" s="1" t="s">
        <v>129</v>
      </c>
    </row>
    <row r="11" spans="1:52">
      <c r="A11" s="1" t="s">
        <v>130</v>
      </c>
      <c r="B11" s="1" t="s">
        <v>52</v>
      </c>
      <c r="C11" s="1" t="s">
        <v>53</v>
      </c>
      <c r="D11" s="1" t="s">
        <v>61</v>
      </c>
      <c r="E11" s="1" t="s">
        <v>131</v>
      </c>
      <c r="F11" s="1" t="s">
        <v>132</v>
      </c>
      <c r="G11" s="1" t="s">
        <v>133</v>
      </c>
      <c r="H11" s="1" t="s">
        <v>134</v>
      </c>
      <c r="I11" s="1" t="s">
        <v>135</v>
      </c>
      <c r="J11" s="1" t="s">
        <v>57</v>
      </c>
      <c r="K11" s="1" t="s">
        <v>58</v>
      </c>
      <c r="L11" s="1" t="s">
        <v>136</v>
      </c>
      <c r="M11" s="1" t="s">
        <v>68</v>
      </c>
      <c r="N11" s="1" t="s">
        <v>137</v>
      </c>
      <c r="O11" s="1" t="s">
        <v>55</v>
      </c>
      <c r="P11" s="1" t="s">
        <v>55</v>
      </c>
      <c r="Q11" s="1" t="s">
        <v>55</v>
      </c>
      <c r="R11" s="1" t="s">
        <v>55</v>
      </c>
      <c r="S11" s="1" t="s">
        <v>55</v>
      </c>
      <c r="T11" s="1" t="s">
        <v>55</v>
      </c>
      <c r="U11" s="1" t="s">
        <v>109</v>
      </c>
      <c r="V11" s="1" t="s">
        <v>55</v>
      </c>
      <c r="W11" s="1" t="s">
        <v>55</v>
      </c>
      <c r="X11" s="1" t="s">
        <v>55</v>
      </c>
      <c r="Y11" s="1" t="s">
        <v>55</v>
      </c>
      <c r="Z11" s="1" t="s">
        <v>55</v>
      </c>
      <c r="AA11" s="1" t="s">
        <v>55</v>
      </c>
      <c r="AB11" s="1" t="s">
        <v>55</v>
      </c>
      <c r="AC11" s="1" t="s">
        <v>55</v>
      </c>
      <c r="AD11" s="1" t="s">
        <v>55</v>
      </c>
      <c r="AE11" s="1" t="s">
        <v>55</v>
      </c>
      <c r="AF11" s="1" t="s">
        <v>55</v>
      </c>
      <c r="AG11" s="1" t="s">
        <v>55</v>
      </c>
      <c r="AH11" s="1" t="s">
        <v>61</v>
      </c>
      <c r="AI11" s="1" t="s">
        <v>55</v>
      </c>
      <c r="AJ11" s="1" t="s">
        <v>55</v>
      </c>
      <c r="AK11" s="1" t="s">
        <v>55</v>
      </c>
      <c r="AL11" s="1" t="s">
        <v>55</v>
      </c>
      <c r="AM11" s="1" t="s">
        <v>55</v>
      </c>
      <c r="AN11" s="1" t="s">
        <v>55</v>
      </c>
      <c r="AO11" s="1" t="s">
        <v>55</v>
      </c>
      <c r="AP11" s="1" t="s">
        <v>55</v>
      </c>
      <c r="AQ11" s="1" t="s">
        <v>55</v>
      </c>
      <c r="AR11" s="1" t="s">
        <v>55</v>
      </c>
      <c r="AS11" s="1" t="s">
        <v>55</v>
      </c>
      <c r="AT11" s="1" t="s">
        <v>55</v>
      </c>
      <c r="AU11" s="1" t="s">
        <v>55</v>
      </c>
      <c r="AV11" s="1" t="s">
        <v>55</v>
      </c>
      <c r="AW11" s="1" t="s">
        <v>55</v>
      </c>
      <c r="AX11" s="1" t="s">
        <v>55</v>
      </c>
      <c r="AY11" s="1" t="s">
        <v>55</v>
      </c>
      <c r="AZ11" s="1" t="s">
        <v>138</v>
      </c>
    </row>
    <row r="12" spans="1:52">
      <c r="A12" s="1" t="s">
        <v>139</v>
      </c>
      <c r="B12" s="1" t="s">
        <v>52</v>
      </c>
      <c r="C12" s="1" t="s">
        <v>53</v>
      </c>
      <c r="D12" s="1" t="s">
        <v>61</v>
      </c>
      <c r="E12" s="1" t="s">
        <v>140</v>
      </c>
      <c r="F12" s="1" t="s">
        <v>141</v>
      </c>
      <c r="G12" s="1" t="s">
        <v>142</v>
      </c>
      <c r="H12" s="1" t="s">
        <v>143</v>
      </c>
      <c r="I12" s="1" t="s">
        <v>144</v>
      </c>
      <c r="J12" s="1" t="s">
        <v>57</v>
      </c>
      <c r="K12" s="1" t="s">
        <v>58</v>
      </c>
      <c r="L12" s="1" t="s">
        <v>83</v>
      </c>
      <c r="M12" s="1" t="s">
        <v>68</v>
      </c>
      <c r="N12" s="1" t="s">
        <v>145</v>
      </c>
      <c r="O12" s="1" t="s">
        <v>55</v>
      </c>
      <c r="P12" s="1" t="s">
        <v>55</v>
      </c>
      <c r="Q12" s="1" t="s">
        <v>55</v>
      </c>
      <c r="R12" s="1" t="s">
        <v>55</v>
      </c>
      <c r="S12" s="1" t="s">
        <v>55</v>
      </c>
      <c r="T12" s="1" t="s">
        <v>55</v>
      </c>
      <c r="U12" s="1" t="s">
        <v>109</v>
      </c>
      <c r="V12" s="1" t="s">
        <v>55</v>
      </c>
      <c r="W12" s="1" t="s">
        <v>55</v>
      </c>
      <c r="X12" s="1" t="s">
        <v>55</v>
      </c>
      <c r="Y12" s="1" t="s">
        <v>55</v>
      </c>
      <c r="Z12" s="1" t="s">
        <v>55</v>
      </c>
      <c r="AA12" s="1" t="s">
        <v>55</v>
      </c>
      <c r="AB12" s="1" t="s">
        <v>55</v>
      </c>
      <c r="AC12" s="1" t="s">
        <v>55</v>
      </c>
      <c r="AD12" s="1" t="s">
        <v>55</v>
      </c>
      <c r="AE12" s="1" t="s">
        <v>55</v>
      </c>
      <c r="AF12" s="1" t="s">
        <v>55</v>
      </c>
      <c r="AG12" s="1" t="s">
        <v>55</v>
      </c>
      <c r="AH12" s="1" t="s">
        <v>61</v>
      </c>
      <c r="AI12" s="1" t="s">
        <v>55</v>
      </c>
      <c r="AJ12" s="1" t="s">
        <v>55</v>
      </c>
      <c r="AK12" s="1" t="s">
        <v>55</v>
      </c>
      <c r="AL12" s="1" t="s">
        <v>55</v>
      </c>
      <c r="AM12" s="1" t="s">
        <v>55</v>
      </c>
      <c r="AN12" s="1" t="s">
        <v>55</v>
      </c>
      <c r="AO12" s="1" t="s">
        <v>55</v>
      </c>
      <c r="AP12" s="1" t="s">
        <v>55</v>
      </c>
      <c r="AQ12" s="1" t="s">
        <v>55</v>
      </c>
      <c r="AR12" s="1" t="s">
        <v>55</v>
      </c>
      <c r="AS12" s="1" t="s">
        <v>55</v>
      </c>
      <c r="AT12" s="1" t="s">
        <v>55</v>
      </c>
      <c r="AU12" s="1" t="s">
        <v>55</v>
      </c>
      <c r="AV12" s="1" t="s">
        <v>55</v>
      </c>
      <c r="AW12" s="1" t="s">
        <v>55</v>
      </c>
      <c r="AX12" s="1" t="s">
        <v>55</v>
      </c>
      <c r="AY12" s="1" t="s">
        <v>55</v>
      </c>
      <c r="AZ12" s="1" t="s">
        <v>138</v>
      </c>
    </row>
    <row r="13" spans="1:52">
      <c r="A13" s="1" t="s">
        <v>146</v>
      </c>
      <c r="B13" s="1" t="s">
        <v>52</v>
      </c>
      <c r="C13" s="1" t="s">
        <v>53</v>
      </c>
      <c r="D13" s="1" t="s">
        <v>61</v>
      </c>
      <c r="E13" s="1" t="s">
        <v>147</v>
      </c>
      <c r="F13" s="1" t="s">
        <v>148</v>
      </c>
      <c r="G13" s="1" t="s">
        <v>149</v>
      </c>
      <c r="H13" s="1" t="s">
        <v>150</v>
      </c>
      <c r="I13" s="1" t="s">
        <v>151</v>
      </c>
      <c r="J13" s="1" t="s">
        <v>57</v>
      </c>
      <c r="K13" s="1" t="s">
        <v>58</v>
      </c>
      <c r="L13" s="1" t="s">
        <v>83</v>
      </c>
      <c r="M13" s="1" t="s">
        <v>68</v>
      </c>
      <c r="N13" s="1" t="s">
        <v>152</v>
      </c>
      <c r="O13" s="1" t="s">
        <v>55</v>
      </c>
      <c r="P13" s="1" t="s">
        <v>55</v>
      </c>
      <c r="Q13" s="1" t="s">
        <v>55</v>
      </c>
      <c r="R13" s="1" t="s">
        <v>55</v>
      </c>
      <c r="S13" s="1" t="s">
        <v>55</v>
      </c>
      <c r="T13" s="1" t="s">
        <v>55</v>
      </c>
      <c r="U13" s="1" t="s">
        <v>109</v>
      </c>
      <c r="V13" s="1" t="s">
        <v>55</v>
      </c>
      <c r="W13" s="1" t="s">
        <v>55</v>
      </c>
      <c r="X13" s="1" t="s">
        <v>55</v>
      </c>
      <c r="Y13" s="1" t="s">
        <v>55</v>
      </c>
      <c r="Z13" s="1" t="s">
        <v>55</v>
      </c>
      <c r="AA13" s="1" t="s">
        <v>55</v>
      </c>
      <c r="AB13" s="1" t="s">
        <v>55</v>
      </c>
      <c r="AC13" s="1" t="s">
        <v>55</v>
      </c>
      <c r="AD13" s="1" t="s">
        <v>55</v>
      </c>
      <c r="AE13" s="1" t="s">
        <v>55</v>
      </c>
      <c r="AF13" s="1" t="s">
        <v>55</v>
      </c>
      <c r="AG13" s="1" t="s">
        <v>55</v>
      </c>
      <c r="AH13" s="1" t="s">
        <v>61</v>
      </c>
      <c r="AI13" s="1" t="s">
        <v>55</v>
      </c>
      <c r="AJ13" s="1" t="s">
        <v>55</v>
      </c>
      <c r="AK13" s="1" t="s">
        <v>55</v>
      </c>
      <c r="AL13" s="1" t="s">
        <v>55</v>
      </c>
      <c r="AM13" s="1" t="s">
        <v>55</v>
      </c>
      <c r="AN13" s="1" t="s">
        <v>55</v>
      </c>
      <c r="AO13" s="1" t="s">
        <v>55</v>
      </c>
      <c r="AP13" s="1" t="s">
        <v>55</v>
      </c>
      <c r="AQ13" s="1" t="s">
        <v>55</v>
      </c>
      <c r="AR13" s="1" t="s">
        <v>55</v>
      </c>
      <c r="AS13" s="1" t="s">
        <v>55</v>
      </c>
      <c r="AT13" s="1" t="s">
        <v>55</v>
      </c>
      <c r="AU13" s="1" t="s">
        <v>55</v>
      </c>
      <c r="AV13" s="1" t="s">
        <v>55</v>
      </c>
      <c r="AW13" s="1" t="s">
        <v>55</v>
      </c>
      <c r="AX13" s="1" t="s">
        <v>55</v>
      </c>
      <c r="AY13" s="1" t="s">
        <v>55</v>
      </c>
      <c r="AZ13" s="1" t="s">
        <v>138</v>
      </c>
    </row>
    <row r="14" spans="1:52">
      <c r="A14" s="1" t="s">
        <v>153</v>
      </c>
      <c r="B14" s="1" t="s">
        <v>52</v>
      </c>
      <c r="C14" s="1" t="s">
        <v>53</v>
      </c>
      <c r="D14" s="1" t="s">
        <v>61</v>
      </c>
      <c r="E14" s="1" t="s">
        <v>154</v>
      </c>
      <c r="F14" s="1" t="s">
        <v>155</v>
      </c>
      <c r="G14" s="1" t="s">
        <v>156</v>
      </c>
      <c r="H14" s="1" t="s">
        <v>157</v>
      </c>
      <c r="I14" s="1" t="s">
        <v>158</v>
      </c>
      <c r="J14" s="1" t="s">
        <v>57</v>
      </c>
      <c r="K14" s="1" t="s">
        <v>58</v>
      </c>
      <c r="L14" s="1" t="s">
        <v>136</v>
      </c>
      <c r="M14" s="1" t="s">
        <v>159</v>
      </c>
      <c r="N14" s="1" t="s">
        <v>160</v>
      </c>
      <c r="O14" s="1" t="s">
        <v>55</v>
      </c>
      <c r="P14" s="1" t="s">
        <v>55</v>
      </c>
      <c r="Q14" s="1" t="s">
        <v>55</v>
      </c>
      <c r="R14" s="1" t="s">
        <v>55</v>
      </c>
      <c r="S14" s="1" t="s">
        <v>55</v>
      </c>
      <c r="T14" s="1" t="s">
        <v>55</v>
      </c>
      <c r="U14" s="1" t="s">
        <v>109</v>
      </c>
      <c r="V14" s="1" t="s">
        <v>55</v>
      </c>
      <c r="W14" s="1" t="s">
        <v>55</v>
      </c>
      <c r="X14" s="1" t="s">
        <v>55</v>
      </c>
      <c r="Y14" s="1" t="s">
        <v>55</v>
      </c>
      <c r="Z14" s="1" t="s">
        <v>55</v>
      </c>
      <c r="AA14" s="1" t="s">
        <v>55</v>
      </c>
      <c r="AB14" s="1" t="s">
        <v>55</v>
      </c>
      <c r="AC14" s="1" t="s">
        <v>55</v>
      </c>
      <c r="AD14" s="1" t="s">
        <v>55</v>
      </c>
      <c r="AE14" s="1" t="s">
        <v>55</v>
      </c>
      <c r="AF14" s="1" t="s">
        <v>55</v>
      </c>
      <c r="AG14" s="1" t="s">
        <v>55</v>
      </c>
      <c r="AH14" s="1" t="s">
        <v>61</v>
      </c>
      <c r="AI14" s="1" t="s">
        <v>55</v>
      </c>
      <c r="AJ14" s="1" t="s">
        <v>55</v>
      </c>
      <c r="AK14" s="1" t="s">
        <v>55</v>
      </c>
      <c r="AL14" s="1" t="s">
        <v>61</v>
      </c>
      <c r="AM14" s="1" t="s">
        <v>55</v>
      </c>
      <c r="AN14" s="1" t="s">
        <v>55</v>
      </c>
      <c r="AO14" s="1" t="s">
        <v>55</v>
      </c>
      <c r="AP14" s="1" t="s">
        <v>55</v>
      </c>
      <c r="AQ14" s="1" t="s">
        <v>55</v>
      </c>
      <c r="AR14" s="1" t="s">
        <v>55</v>
      </c>
      <c r="AS14" s="1" t="s">
        <v>55</v>
      </c>
      <c r="AT14" s="1" t="s">
        <v>55</v>
      </c>
      <c r="AU14" s="1" t="s">
        <v>55</v>
      </c>
      <c r="AV14" s="1" t="s">
        <v>55</v>
      </c>
      <c r="AW14" s="1" t="s">
        <v>55</v>
      </c>
      <c r="AX14" s="1" t="s">
        <v>55</v>
      </c>
      <c r="AY14" s="1" t="s">
        <v>55</v>
      </c>
      <c r="AZ14" s="1" t="s">
        <v>138</v>
      </c>
    </row>
    <row r="15" spans="1:52">
      <c r="A15" s="1" t="s">
        <v>161</v>
      </c>
      <c r="B15" s="1" t="s">
        <v>52</v>
      </c>
      <c r="C15" s="1" t="s">
        <v>53</v>
      </c>
      <c r="D15" s="1" t="s">
        <v>61</v>
      </c>
      <c r="E15" s="1" t="s">
        <v>157</v>
      </c>
      <c r="F15" s="1" t="s">
        <v>162</v>
      </c>
      <c r="G15" s="1" t="s">
        <v>163</v>
      </c>
      <c r="H15" s="1" t="s">
        <v>164</v>
      </c>
      <c r="I15" s="1" t="s">
        <v>165</v>
      </c>
      <c r="J15" s="1" t="s">
        <v>57</v>
      </c>
      <c r="K15" s="1" t="s">
        <v>58</v>
      </c>
      <c r="L15" s="1" t="s">
        <v>166</v>
      </c>
      <c r="M15" s="1" t="s">
        <v>167</v>
      </c>
      <c r="N15" s="1" t="s">
        <v>73</v>
      </c>
      <c r="O15" s="1" t="s">
        <v>55</v>
      </c>
      <c r="P15" s="1" t="s">
        <v>55</v>
      </c>
      <c r="Q15" s="1" t="s">
        <v>55</v>
      </c>
      <c r="R15" s="1" t="s">
        <v>55</v>
      </c>
      <c r="S15" s="1" t="s">
        <v>55</v>
      </c>
      <c r="T15" s="1" t="s">
        <v>55</v>
      </c>
      <c r="U15" s="1" t="s">
        <v>109</v>
      </c>
      <c r="V15" s="1" t="s">
        <v>55</v>
      </c>
      <c r="W15" s="1" t="s">
        <v>55</v>
      </c>
      <c r="X15" s="1" t="s">
        <v>55</v>
      </c>
      <c r="Y15" s="1" t="s">
        <v>55</v>
      </c>
      <c r="Z15" s="1" t="s">
        <v>55</v>
      </c>
      <c r="AA15" s="1" t="s">
        <v>55</v>
      </c>
      <c r="AB15" s="1" t="s">
        <v>55</v>
      </c>
      <c r="AC15" s="1" t="s">
        <v>55</v>
      </c>
      <c r="AD15" s="1" t="s">
        <v>55</v>
      </c>
      <c r="AE15" s="1" t="s">
        <v>55</v>
      </c>
      <c r="AF15" s="1" t="s">
        <v>55</v>
      </c>
      <c r="AG15" s="1" t="s">
        <v>55</v>
      </c>
      <c r="AH15" s="1" t="s">
        <v>84</v>
      </c>
      <c r="AI15" s="1" t="s">
        <v>55</v>
      </c>
      <c r="AJ15" s="1" t="s">
        <v>55</v>
      </c>
      <c r="AK15" s="1" t="s">
        <v>55</v>
      </c>
      <c r="AL15" s="1" t="s">
        <v>61</v>
      </c>
      <c r="AM15" s="1" t="s">
        <v>55</v>
      </c>
      <c r="AN15" s="1" t="s">
        <v>55</v>
      </c>
      <c r="AO15" s="1" t="s">
        <v>55</v>
      </c>
      <c r="AP15" s="1" t="s">
        <v>55</v>
      </c>
      <c r="AQ15" s="1" t="s">
        <v>55</v>
      </c>
      <c r="AR15" s="1" t="s">
        <v>55</v>
      </c>
      <c r="AS15" s="1" t="s">
        <v>55</v>
      </c>
      <c r="AT15" s="1" t="s">
        <v>55</v>
      </c>
      <c r="AU15" s="1" t="s">
        <v>55</v>
      </c>
      <c r="AV15" s="1" t="s">
        <v>55</v>
      </c>
      <c r="AW15" s="1" t="s">
        <v>55</v>
      </c>
      <c r="AX15" s="1" t="s">
        <v>55</v>
      </c>
      <c r="AY15" s="1" t="s">
        <v>55</v>
      </c>
      <c r="AZ15" s="1" t="s">
        <v>138</v>
      </c>
    </row>
    <row r="16" spans="1:52">
      <c r="A16" s="1" t="s">
        <v>168</v>
      </c>
      <c r="B16" s="1" t="s">
        <v>52</v>
      </c>
      <c r="C16" s="1" t="s">
        <v>53</v>
      </c>
      <c r="D16" s="1" t="s">
        <v>61</v>
      </c>
      <c r="E16" s="1" t="s">
        <v>169</v>
      </c>
      <c r="F16" s="1" t="s">
        <v>170</v>
      </c>
      <c r="G16" s="1" t="s">
        <v>171</v>
      </c>
      <c r="H16" s="1" t="s">
        <v>172</v>
      </c>
      <c r="I16" s="1" t="s">
        <v>173</v>
      </c>
      <c r="J16" s="1" t="s">
        <v>57</v>
      </c>
      <c r="K16" s="1" t="s">
        <v>58</v>
      </c>
      <c r="L16" s="1" t="s">
        <v>174</v>
      </c>
      <c r="M16" s="1" t="s">
        <v>167</v>
      </c>
      <c r="N16" s="1" t="s">
        <v>175</v>
      </c>
      <c r="O16" s="1" t="s">
        <v>55</v>
      </c>
      <c r="P16" s="1" t="s">
        <v>55</v>
      </c>
      <c r="Q16" s="1" t="s">
        <v>55</v>
      </c>
      <c r="R16" s="1" t="s">
        <v>55</v>
      </c>
      <c r="S16" s="1" t="s">
        <v>55</v>
      </c>
      <c r="T16" s="1" t="s">
        <v>55</v>
      </c>
      <c r="U16" s="1" t="s">
        <v>109</v>
      </c>
      <c r="V16" s="1" t="s">
        <v>55</v>
      </c>
      <c r="W16" s="1" t="s">
        <v>55</v>
      </c>
      <c r="X16" s="1" t="s">
        <v>55</v>
      </c>
      <c r="Y16" s="1" t="s">
        <v>55</v>
      </c>
      <c r="Z16" s="1" t="s">
        <v>55</v>
      </c>
      <c r="AA16" s="1" t="s">
        <v>55</v>
      </c>
      <c r="AB16" s="1" t="s">
        <v>55</v>
      </c>
      <c r="AC16" s="1" t="s">
        <v>55</v>
      </c>
      <c r="AD16" s="1" t="s">
        <v>55</v>
      </c>
      <c r="AE16" s="1" t="s">
        <v>55</v>
      </c>
      <c r="AF16" s="1" t="s">
        <v>55</v>
      </c>
      <c r="AG16" s="1" t="s">
        <v>55</v>
      </c>
      <c r="AH16" s="1" t="s">
        <v>84</v>
      </c>
      <c r="AI16" s="1" t="s">
        <v>55</v>
      </c>
      <c r="AJ16" s="1" t="s">
        <v>55</v>
      </c>
      <c r="AK16" s="1" t="s">
        <v>55</v>
      </c>
      <c r="AL16" s="1" t="s">
        <v>61</v>
      </c>
      <c r="AM16" s="1" t="s">
        <v>55</v>
      </c>
      <c r="AN16" s="1" t="s">
        <v>55</v>
      </c>
      <c r="AO16" s="1" t="s">
        <v>55</v>
      </c>
      <c r="AP16" s="1" t="s">
        <v>55</v>
      </c>
      <c r="AQ16" s="1" t="s">
        <v>55</v>
      </c>
      <c r="AR16" s="1" t="s">
        <v>55</v>
      </c>
      <c r="AS16" s="1" t="s">
        <v>55</v>
      </c>
      <c r="AT16" s="1" t="s">
        <v>55</v>
      </c>
      <c r="AU16" s="1" t="s">
        <v>55</v>
      </c>
      <c r="AV16" s="1" t="s">
        <v>55</v>
      </c>
      <c r="AW16" s="1" t="s">
        <v>55</v>
      </c>
      <c r="AX16" s="1" t="s">
        <v>55</v>
      </c>
      <c r="AY16" s="1" t="s">
        <v>55</v>
      </c>
      <c r="AZ16" s="1" t="s">
        <v>138</v>
      </c>
    </row>
    <row r="17" spans="1:52">
      <c r="A17" s="1" t="s">
        <v>176</v>
      </c>
      <c r="B17" s="1" t="s">
        <v>52</v>
      </c>
      <c r="C17" s="1" t="s">
        <v>53</v>
      </c>
      <c r="D17" s="1" t="s">
        <v>61</v>
      </c>
      <c r="E17" s="1" t="s">
        <v>177</v>
      </c>
      <c r="F17" s="1" t="s">
        <v>178</v>
      </c>
      <c r="G17" s="1" t="s">
        <v>179</v>
      </c>
      <c r="H17" s="1" t="s">
        <v>180</v>
      </c>
      <c r="I17" s="1" t="s">
        <v>181</v>
      </c>
      <c r="J17" s="1" t="s">
        <v>57</v>
      </c>
      <c r="K17" s="1" t="s">
        <v>58</v>
      </c>
      <c r="L17" s="1" t="s">
        <v>83</v>
      </c>
      <c r="M17" s="1" t="s">
        <v>167</v>
      </c>
      <c r="N17" s="1" t="s">
        <v>182</v>
      </c>
      <c r="O17" s="1" t="s">
        <v>55</v>
      </c>
      <c r="P17" s="1" t="s">
        <v>55</v>
      </c>
      <c r="Q17" s="1" t="s">
        <v>55</v>
      </c>
      <c r="R17" s="1" t="s">
        <v>55</v>
      </c>
      <c r="S17" s="1" t="s">
        <v>55</v>
      </c>
      <c r="T17" s="1" t="s">
        <v>55</v>
      </c>
      <c r="U17" s="1" t="s">
        <v>109</v>
      </c>
      <c r="V17" s="1" t="s">
        <v>55</v>
      </c>
      <c r="W17" s="1" t="s">
        <v>55</v>
      </c>
      <c r="X17" s="1" t="s">
        <v>55</v>
      </c>
      <c r="Y17" s="1" t="s">
        <v>55</v>
      </c>
      <c r="Z17" s="1" t="s">
        <v>55</v>
      </c>
      <c r="AA17" s="1" t="s">
        <v>55</v>
      </c>
      <c r="AB17" s="1" t="s">
        <v>55</v>
      </c>
      <c r="AC17" s="1" t="s">
        <v>55</v>
      </c>
      <c r="AD17" s="1" t="s">
        <v>55</v>
      </c>
      <c r="AE17" s="1" t="s">
        <v>55</v>
      </c>
      <c r="AF17" s="1" t="s">
        <v>55</v>
      </c>
      <c r="AG17" s="1" t="s">
        <v>55</v>
      </c>
      <c r="AH17" s="1" t="s">
        <v>84</v>
      </c>
      <c r="AI17" s="1" t="s">
        <v>55</v>
      </c>
      <c r="AJ17" s="1" t="s">
        <v>55</v>
      </c>
      <c r="AK17" s="1" t="s">
        <v>55</v>
      </c>
      <c r="AL17" s="1" t="s">
        <v>61</v>
      </c>
      <c r="AM17" s="1" t="s">
        <v>55</v>
      </c>
      <c r="AN17" s="1" t="s">
        <v>55</v>
      </c>
      <c r="AO17" s="1" t="s">
        <v>55</v>
      </c>
      <c r="AP17" s="1" t="s">
        <v>55</v>
      </c>
      <c r="AQ17" s="1" t="s">
        <v>55</v>
      </c>
      <c r="AR17" s="1" t="s">
        <v>55</v>
      </c>
      <c r="AS17" s="1" t="s">
        <v>55</v>
      </c>
      <c r="AT17" s="1" t="s">
        <v>55</v>
      </c>
      <c r="AU17" s="1" t="s">
        <v>55</v>
      </c>
      <c r="AV17" s="1" t="s">
        <v>55</v>
      </c>
      <c r="AW17" s="1" t="s">
        <v>55</v>
      </c>
      <c r="AX17" s="1" t="s">
        <v>55</v>
      </c>
      <c r="AY17" s="1" t="s">
        <v>55</v>
      </c>
      <c r="AZ17" s="1" t="s">
        <v>138</v>
      </c>
    </row>
    <row r="18" spans="1:52">
      <c r="A18" s="1" t="s">
        <v>183</v>
      </c>
      <c r="B18" s="1" t="s">
        <v>52</v>
      </c>
      <c r="C18" s="1" t="s">
        <v>53</v>
      </c>
      <c r="D18" s="1" t="s">
        <v>61</v>
      </c>
      <c r="E18" s="1" t="s">
        <v>184</v>
      </c>
      <c r="F18" s="1" t="s">
        <v>185</v>
      </c>
      <c r="G18" s="1" t="s">
        <v>186</v>
      </c>
      <c r="H18" s="1" t="s">
        <v>187</v>
      </c>
      <c r="I18" s="1" t="s">
        <v>188</v>
      </c>
      <c r="J18" s="1" t="s">
        <v>57</v>
      </c>
      <c r="K18" s="1" t="s">
        <v>58</v>
      </c>
      <c r="L18" s="1" t="s">
        <v>174</v>
      </c>
      <c r="M18" s="1" t="s">
        <v>167</v>
      </c>
      <c r="N18" s="1" t="s">
        <v>189</v>
      </c>
      <c r="O18" s="1" t="s">
        <v>55</v>
      </c>
      <c r="P18" s="1" t="s">
        <v>55</v>
      </c>
      <c r="Q18" s="1" t="s">
        <v>55</v>
      </c>
      <c r="R18" s="1" t="s">
        <v>55</v>
      </c>
      <c r="S18" s="1" t="s">
        <v>55</v>
      </c>
      <c r="T18" s="1" t="s">
        <v>55</v>
      </c>
      <c r="U18" s="1" t="s">
        <v>109</v>
      </c>
      <c r="V18" s="1" t="s">
        <v>55</v>
      </c>
      <c r="W18" s="1" t="s">
        <v>55</v>
      </c>
      <c r="X18" s="1" t="s">
        <v>55</v>
      </c>
      <c r="Y18" s="1" t="s">
        <v>55</v>
      </c>
      <c r="Z18" s="1" t="s">
        <v>55</v>
      </c>
      <c r="AA18" s="1" t="s">
        <v>55</v>
      </c>
      <c r="AB18" s="1" t="s">
        <v>55</v>
      </c>
      <c r="AC18" s="1" t="s">
        <v>55</v>
      </c>
      <c r="AD18" s="1" t="s">
        <v>55</v>
      </c>
      <c r="AE18" s="1" t="s">
        <v>55</v>
      </c>
      <c r="AF18" s="1" t="s">
        <v>55</v>
      </c>
      <c r="AG18" s="1" t="s">
        <v>55</v>
      </c>
      <c r="AH18" s="1" t="s">
        <v>84</v>
      </c>
      <c r="AI18" s="1" t="s">
        <v>55</v>
      </c>
      <c r="AJ18" s="1" t="s">
        <v>55</v>
      </c>
      <c r="AK18" s="1" t="s">
        <v>55</v>
      </c>
      <c r="AL18" s="1" t="s">
        <v>61</v>
      </c>
      <c r="AM18" s="1" t="s">
        <v>55</v>
      </c>
      <c r="AN18" s="1" t="s">
        <v>55</v>
      </c>
      <c r="AO18" s="1" t="s">
        <v>55</v>
      </c>
      <c r="AP18" s="1" t="s">
        <v>55</v>
      </c>
      <c r="AQ18" s="1" t="s">
        <v>55</v>
      </c>
      <c r="AR18" s="1" t="s">
        <v>55</v>
      </c>
      <c r="AS18" s="1" t="s">
        <v>55</v>
      </c>
      <c r="AT18" s="1" t="s">
        <v>55</v>
      </c>
      <c r="AU18" s="1" t="s">
        <v>55</v>
      </c>
      <c r="AV18" s="1" t="s">
        <v>55</v>
      </c>
      <c r="AW18" s="1" t="s">
        <v>55</v>
      </c>
      <c r="AX18" s="1" t="s">
        <v>55</v>
      </c>
      <c r="AY18" s="1" t="s">
        <v>55</v>
      </c>
      <c r="AZ18" s="1" t="s">
        <v>138</v>
      </c>
    </row>
    <row r="19" spans="1:52">
      <c r="A19" s="1" t="s">
        <v>190</v>
      </c>
      <c r="B19" s="1" t="s">
        <v>52</v>
      </c>
      <c r="C19" s="1" t="s">
        <v>53</v>
      </c>
      <c r="D19" s="1" t="s">
        <v>61</v>
      </c>
      <c r="E19" s="1" t="s">
        <v>191</v>
      </c>
      <c r="F19" s="1" t="s">
        <v>192</v>
      </c>
      <c r="G19" s="1" t="s">
        <v>193</v>
      </c>
      <c r="H19" s="1" t="s">
        <v>194</v>
      </c>
      <c r="I19" s="1" t="s">
        <v>195</v>
      </c>
      <c r="J19" s="1" t="s">
        <v>57</v>
      </c>
      <c r="K19" s="1" t="s">
        <v>58</v>
      </c>
      <c r="L19" s="1" t="s">
        <v>196</v>
      </c>
      <c r="M19" s="1" t="s">
        <v>167</v>
      </c>
      <c r="N19" s="1" t="s">
        <v>197</v>
      </c>
      <c r="O19" s="1" t="s">
        <v>55</v>
      </c>
      <c r="P19" s="1" t="s">
        <v>55</v>
      </c>
      <c r="Q19" s="1" t="s">
        <v>55</v>
      </c>
      <c r="R19" s="1" t="s">
        <v>55</v>
      </c>
      <c r="S19" s="1" t="s">
        <v>55</v>
      </c>
      <c r="T19" s="1" t="s">
        <v>55</v>
      </c>
      <c r="U19" s="1" t="s">
        <v>109</v>
      </c>
      <c r="V19" s="1" t="s">
        <v>55</v>
      </c>
      <c r="W19" s="1" t="s">
        <v>55</v>
      </c>
      <c r="X19" s="1" t="s">
        <v>55</v>
      </c>
      <c r="Y19" s="1" t="s">
        <v>55</v>
      </c>
      <c r="Z19" s="1" t="s">
        <v>55</v>
      </c>
      <c r="AA19" s="1" t="s">
        <v>55</v>
      </c>
      <c r="AB19" s="1" t="s">
        <v>55</v>
      </c>
      <c r="AC19" s="1" t="s">
        <v>55</v>
      </c>
      <c r="AD19" s="1" t="s">
        <v>55</v>
      </c>
      <c r="AE19" s="1" t="s">
        <v>55</v>
      </c>
      <c r="AF19" s="1" t="s">
        <v>55</v>
      </c>
      <c r="AG19" s="1" t="s">
        <v>55</v>
      </c>
      <c r="AH19" s="1" t="s">
        <v>84</v>
      </c>
      <c r="AI19" s="1" t="s">
        <v>55</v>
      </c>
      <c r="AJ19" s="1" t="s">
        <v>55</v>
      </c>
      <c r="AK19" s="1" t="s">
        <v>55</v>
      </c>
      <c r="AL19" s="1" t="s">
        <v>61</v>
      </c>
      <c r="AM19" s="1" t="s">
        <v>55</v>
      </c>
      <c r="AN19" s="1" t="s">
        <v>55</v>
      </c>
      <c r="AO19" s="1" t="s">
        <v>55</v>
      </c>
      <c r="AP19" s="1" t="s">
        <v>55</v>
      </c>
      <c r="AQ19" s="1" t="s">
        <v>55</v>
      </c>
      <c r="AR19" s="1" t="s">
        <v>55</v>
      </c>
      <c r="AS19" s="1" t="s">
        <v>55</v>
      </c>
      <c r="AT19" s="1" t="s">
        <v>55</v>
      </c>
      <c r="AU19" s="1" t="s">
        <v>55</v>
      </c>
      <c r="AV19" s="1" t="s">
        <v>55</v>
      </c>
      <c r="AW19" s="1" t="s">
        <v>55</v>
      </c>
      <c r="AX19" s="1" t="s">
        <v>55</v>
      </c>
      <c r="AY19" s="1" t="s">
        <v>55</v>
      </c>
      <c r="AZ19" s="1" t="s">
        <v>198</v>
      </c>
    </row>
    <row r="20" spans="1:52">
      <c r="A20" s="1" t="s">
        <v>199</v>
      </c>
      <c r="B20" s="1" t="s">
        <v>52</v>
      </c>
      <c r="C20" s="1" t="s">
        <v>53</v>
      </c>
      <c r="D20" s="1" t="s">
        <v>61</v>
      </c>
      <c r="E20" s="1" t="s">
        <v>200</v>
      </c>
      <c r="F20" s="1" t="s">
        <v>201</v>
      </c>
      <c r="G20" s="1" t="s">
        <v>202</v>
      </c>
      <c r="H20" s="1" t="s">
        <v>203</v>
      </c>
      <c r="I20" s="1" t="s">
        <v>204</v>
      </c>
      <c r="J20" s="1" t="s">
        <v>57</v>
      </c>
      <c r="K20" s="1" t="s">
        <v>58</v>
      </c>
      <c r="L20" s="1" t="s">
        <v>205</v>
      </c>
      <c r="M20" s="1" t="s">
        <v>167</v>
      </c>
      <c r="N20" s="1" t="s">
        <v>206</v>
      </c>
      <c r="O20" s="1" t="s">
        <v>55</v>
      </c>
      <c r="P20" s="1" t="s">
        <v>55</v>
      </c>
      <c r="Q20" s="1" t="s">
        <v>55</v>
      </c>
      <c r="R20" s="1" t="s">
        <v>55</v>
      </c>
      <c r="S20" s="1" t="s">
        <v>55</v>
      </c>
      <c r="T20" s="1" t="s">
        <v>55</v>
      </c>
      <c r="U20" s="1" t="s">
        <v>109</v>
      </c>
      <c r="V20" s="1" t="s">
        <v>55</v>
      </c>
      <c r="W20" s="1" t="s">
        <v>55</v>
      </c>
      <c r="X20" s="1" t="s">
        <v>55</v>
      </c>
      <c r="Y20" s="1" t="s">
        <v>55</v>
      </c>
      <c r="Z20" s="1" t="s">
        <v>55</v>
      </c>
      <c r="AA20" s="1" t="s">
        <v>55</v>
      </c>
      <c r="AB20" s="1" t="s">
        <v>55</v>
      </c>
      <c r="AC20" s="1" t="s">
        <v>55</v>
      </c>
      <c r="AD20" s="1" t="s">
        <v>55</v>
      </c>
      <c r="AE20" s="1" t="s">
        <v>55</v>
      </c>
      <c r="AF20" s="1" t="s">
        <v>55</v>
      </c>
      <c r="AG20" s="1" t="s">
        <v>55</v>
      </c>
      <c r="AH20" s="1" t="s">
        <v>84</v>
      </c>
      <c r="AI20" s="1" t="s">
        <v>55</v>
      </c>
      <c r="AJ20" s="1" t="s">
        <v>55</v>
      </c>
      <c r="AK20" s="1" t="s">
        <v>55</v>
      </c>
      <c r="AL20" s="1" t="s">
        <v>61</v>
      </c>
      <c r="AM20" s="1" t="s">
        <v>55</v>
      </c>
      <c r="AN20" s="1" t="s">
        <v>55</v>
      </c>
      <c r="AO20" s="1" t="s">
        <v>55</v>
      </c>
      <c r="AP20" s="1" t="s">
        <v>55</v>
      </c>
      <c r="AQ20" s="1" t="s">
        <v>55</v>
      </c>
      <c r="AR20" s="1" t="s">
        <v>55</v>
      </c>
      <c r="AS20" s="1" t="s">
        <v>55</v>
      </c>
      <c r="AT20" s="1" t="s">
        <v>55</v>
      </c>
      <c r="AU20" s="1" t="s">
        <v>55</v>
      </c>
      <c r="AV20" s="1" t="s">
        <v>55</v>
      </c>
      <c r="AW20" s="1" t="s">
        <v>55</v>
      </c>
      <c r="AX20" s="1" t="s">
        <v>55</v>
      </c>
      <c r="AY20" s="1" t="s">
        <v>55</v>
      </c>
      <c r="AZ20" s="1" t="s">
        <v>207</v>
      </c>
    </row>
    <row r="21" spans="1:52">
      <c r="A21" s="1" t="s">
        <v>208</v>
      </c>
      <c r="B21" s="1" t="s">
        <v>52</v>
      </c>
      <c r="C21" s="1" t="s">
        <v>53</v>
      </c>
      <c r="D21" s="1" t="s">
        <v>61</v>
      </c>
      <c r="E21" s="1" t="s">
        <v>209</v>
      </c>
      <c r="F21" s="1" t="s">
        <v>210</v>
      </c>
      <c r="G21" s="1" t="s">
        <v>211</v>
      </c>
      <c r="H21" s="1" t="s">
        <v>212</v>
      </c>
      <c r="I21" s="1" t="s">
        <v>213</v>
      </c>
      <c r="J21" s="1" t="s">
        <v>57</v>
      </c>
      <c r="K21" s="1" t="s">
        <v>58</v>
      </c>
      <c r="L21" s="1" t="s">
        <v>214</v>
      </c>
      <c r="M21" s="1" t="s">
        <v>167</v>
      </c>
      <c r="N21" s="1" t="s">
        <v>215</v>
      </c>
      <c r="O21" s="1" t="s">
        <v>55</v>
      </c>
      <c r="P21" s="1" t="s">
        <v>55</v>
      </c>
      <c r="Q21" s="1" t="s">
        <v>55</v>
      </c>
      <c r="R21" s="1" t="s">
        <v>55</v>
      </c>
      <c r="S21" s="1" t="s">
        <v>55</v>
      </c>
      <c r="T21" s="1" t="s">
        <v>55</v>
      </c>
      <c r="U21" s="1" t="s">
        <v>109</v>
      </c>
      <c r="V21" s="1" t="s">
        <v>55</v>
      </c>
      <c r="W21" s="1" t="s">
        <v>55</v>
      </c>
      <c r="X21" s="1" t="s">
        <v>55</v>
      </c>
      <c r="Y21" s="1" t="s">
        <v>55</v>
      </c>
      <c r="Z21" s="1" t="s">
        <v>55</v>
      </c>
      <c r="AA21" s="1" t="s">
        <v>55</v>
      </c>
      <c r="AB21" s="1" t="s">
        <v>55</v>
      </c>
      <c r="AC21" s="1" t="s">
        <v>55</v>
      </c>
      <c r="AD21" s="1" t="s">
        <v>55</v>
      </c>
      <c r="AE21" s="1" t="s">
        <v>55</v>
      </c>
      <c r="AF21" s="1" t="s">
        <v>55</v>
      </c>
      <c r="AG21" s="1" t="s">
        <v>55</v>
      </c>
      <c r="AH21" s="1" t="s">
        <v>84</v>
      </c>
      <c r="AI21" s="1" t="s">
        <v>55</v>
      </c>
      <c r="AJ21" s="1" t="s">
        <v>55</v>
      </c>
      <c r="AK21" s="1" t="s">
        <v>55</v>
      </c>
      <c r="AL21" s="1" t="s">
        <v>61</v>
      </c>
      <c r="AM21" s="1" t="s">
        <v>55</v>
      </c>
      <c r="AN21" s="1" t="s">
        <v>55</v>
      </c>
      <c r="AO21" s="1" t="s">
        <v>55</v>
      </c>
      <c r="AP21" s="1" t="s">
        <v>55</v>
      </c>
      <c r="AQ21" s="1" t="s">
        <v>55</v>
      </c>
      <c r="AR21" s="1" t="s">
        <v>55</v>
      </c>
      <c r="AS21" s="1" t="s">
        <v>55</v>
      </c>
      <c r="AT21" s="1" t="s">
        <v>55</v>
      </c>
      <c r="AU21" s="1" t="s">
        <v>55</v>
      </c>
      <c r="AV21" s="1" t="s">
        <v>55</v>
      </c>
      <c r="AW21" s="1" t="s">
        <v>55</v>
      </c>
      <c r="AX21" s="1" t="s">
        <v>55</v>
      </c>
      <c r="AY21" s="1" t="s">
        <v>55</v>
      </c>
      <c r="AZ21" s="1" t="s">
        <v>216</v>
      </c>
    </row>
    <row r="22" spans="1:52">
      <c r="A22" s="1" t="s">
        <v>217</v>
      </c>
      <c r="B22" s="1" t="s">
        <v>52</v>
      </c>
      <c r="C22" s="1" t="s">
        <v>53</v>
      </c>
      <c r="D22" s="1" t="s">
        <v>61</v>
      </c>
      <c r="E22" s="1" t="s">
        <v>218</v>
      </c>
      <c r="F22" s="1" t="s">
        <v>219</v>
      </c>
      <c r="G22" s="1" t="s">
        <v>220</v>
      </c>
      <c r="H22" s="1" t="s">
        <v>221</v>
      </c>
      <c r="I22" s="1" t="s">
        <v>222</v>
      </c>
      <c r="J22" s="1" t="s">
        <v>57</v>
      </c>
      <c r="K22" s="1" t="s">
        <v>58</v>
      </c>
      <c r="L22" s="1" t="s">
        <v>83</v>
      </c>
      <c r="M22" s="1" t="s">
        <v>167</v>
      </c>
      <c r="N22" s="1" t="s">
        <v>223</v>
      </c>
      <c r="O22" s="1" t="s">
        <v>55</v>
      </c>
      <c r="P22" s="1" t="s">
        <v>55</v>
      </c>
      <c r="Q22" s="1" t="s">
        <v>55</v>
      </c>
      <c r="R22" s="1" t="s">
        <v>55</v>
      </c>
      <c r="S22" s="1" t="s">
        <v>55</v>
      </c>
      <c r="T22" s="1" t="s">
        <v>55</v>
      </c>
      <c r="U22" s="1" t="s">
        <v>109</v>
      </c>
      <c r="V22" s="1" t="s">
        <v>55</v>
      </c>
      <c r="W22" s="1" t="s">
        <v>55</v>
      </c>
      <c r="X22" s="1" t="s">
        <v>55</v>
      </c>
      <c r="Y22" s="1" t="s">
        <v>55</v>
      </c>
      <c r="Z22" s="1" t="s">
        <v>55</v>
      </c>
      <c r="AA22" s="1" t="s">
        <v>55</v>
      </c>
      <c r="AB22" s="1" t="s">
        <v>55</v>
      </c>
      <c r="AC22" s="1" t="s">
        <v>55</v>
      </c>
      <c r="AD22" s="1" t="s">
        <v>55</v>
      </c>
      <c r="AE22" s="1" t="s">
        <v>55</v>
      </c>
      <c r="AF22" s="1" t="s">
        <v>55</v>
      </c>
      <c r="AG22" s="1" t="s">
        <v>55</v>
      </c>
      <c r="AH22" s="1" t="s">
        <v>84</v>
      </c>
      <c r="AI22" s="1" t="s">
        <v>55</v>
      </c>
      <c r="AJ22" s="1" t="s">
        <v>55</v>
      </c>
      <c r="AK22" s="1" t="s">
        <v>55</v>
      </c>
      <c r="AL22" s="1" t="s">
        <v>61</v>
      </c>
      <c r="AM22" s="1" t="s">
        <v>55</v>
      </c>
      <c r="AN22" s="1" t="s">
        <v>55</v>
      </c>
      <c r="AO22" s="1" t="s">
        <v>55</v>
      </c>
      <c r="AP22" s="1" t="s">
        <v>55</v>
      </c>
      <c r="AQ22" s="1" t="s">
        <v>55</v>
      </c>
      <c r="AR22" s="1" t="s">
        <v>55</v>
      </c>
      <c r="AS22" s="1" t="s">
        <v>55</v>
      </c>
      <c r="AT22" s="1" t="s">
        <v>55</v>
      </c>
      <c r="AU22" s="1" t="s">
        <v>55</v>
      </c>
      <c r="AV22" s="1" t="s">
        <v>55</v>
      </c>
      <c r="AW22" s="1" t="s">
        <v>55</v>
      </c>
      <c r="AX22" s="1" t="s">
        <v>55</v>
      </c>
      <c r="AY22" s="1" t="s">
        <v>55</v>
      </c>
      <c r="AZ22" s="1" t="s">
        <v>224</v>
      </c>
    </row>
    <row r="23" spans="1:52">
      <c r="A23" s="1" t="s">
        <v>225</v>
      </c>
      <c r="B23" s="1" t="s">
        <v>52</v>
      </c>
      <c r="C23" s="1" t="s">
        <v>53</v>
      </c>
      <c r="D23" s="1" t="s">
        <v>61</v>
      </c>
      <c r="E23" s="1" t="s">
        <v>226</v>
      </c>
      <c r="F23" s="1" t="s">
        <v>227</v>
      </c>
      <c r="G23" s="1" t="s">
        <v>228</v>
      </c>
      <c r="H23" s="1" t="s">
        <v>229</v>
      </c>
      <c r="I23" s="1" t="s">
        <v>230</v>
      </c>
      <c r="J23" s="1" t="s">
        <v>57</v>
      </c>
      <c r="K23" s="1" t="s">
        <v>58</v>
      </c>
      <c r="L23" s="1" t="s">
        <v>214</v>
      </c>
      <c r="M23" s="1" t="s">
        <v>167</v>
      </c>
      <c r="N23" s="1" t="s">
        <v>231</v>
      </c>
      <c r="O23" s="1" t="s">
        <v>55</v>
      </c>
      <c r="P23" s="1" t="s">
        <v>55</v>
      </c>
      <c r="Q23" s="1" t="s">
        <v>55</v>
      </c>
      <c r="R23" s="1" t="s">
        <v>55</v>
      </c>
      <c r="S23" s="1" t="s">
        <v>55</v>
      </c>
      <c r="T23" s="1" t="s">
        <v>55</v>
      </c>
      <c r="U23" s="1" t="s">
        <v>109</v>
      </c>
      <c r="V23" s="1" t="s">
        <v>55</v>
      </c>
      <c r="W23" s="1" t="s">
        <v>55</v>
      </c>
      <c r="X23" s="1" t="s">
        <v>55</v>
      </c>
      <c r="Y23" s="1" t="s">
        <v>55</v>
      </c>
      <c r="Z23" s="1" t="s">
        <v>55</v>
      </c>
      <c r="AA23" s="1" t="s">
        <v>55</v>
      </c>
      <c r="AB23" s="1" t="s">
        <v>55</v>
      </c>
      <c r="AC23" s="1" t="s">
        <v>55</v>
      </c>
      <c r="AD23" s="1" t="s">
        <v>55</v>
      </c>
      <c r="AE23" s="1" t="s">
        <v>55</v>
      </c>
      <c r="AF23" s="1" t="s">
        <v>55</v>
      </c>
      <c r="AG23" s="1" t="s">
        <v>55</v>
      </c>
      <c r="AH23" s="1" t="s">
        <v>84</v>
      </c>
      <c r="AI23" s="1" t="s">
        <v>55</v>
      </c>
      <c r="AJ23" s="1" t="s">
        <v>55</v>
      </c>
      <c r="AK23" s="1" t="s">
        <v>55</v>
      </c>
      <c r="AL23" s="1" t="s">
        <v>61</v>
      </c>
      <c r="AM23" s="1" t="s">
        <v>55</v>
      </c>
      <c r="AN23" s="1" t="s">
        <v>55</v>
      </c>
      <c r="AO23" s="1" t="s">
        <v>55</v>
      </c>
      <c r="AP23" s="1" t="s">
        <v>55</v>
      </c>
      <c r="AQ23" s="1" t="s">
        <v>55</v>
      </c>
      <c r="AR23" s="1" t="s">
        <v>55</v>
      </c>
      <c r="AS23" s="1" t="s">
        <v>55</v>
      </c>
      <c r="AT23" s="1" t="s">
        <v>55</v>
      </c>
      <c r="AU23" s="1" t="s">
        <v>55</v>
      </c>
      <c r="AV23" s="1" t="s">
        <v>55</v>
      </c>
      <c r="AW23" s="1" t="s">
        <v>55</v>
      </c>
      <c r="AX23" s="1" t="s">
        <v>55</v>
      </c>
      <c r="AY23" s="1" t="s">
        <v>55</v>
      </c>
      <c r="AZ23" s="1" t="s">
        <v>224</v>
      </c>
    </row>
    <row r="24" spans="1:52">
      <c r="A24" s="1" t="s">
        <v>232</v>
      </c>
      <c r="B24" s="1" t="s">
        <v>52</v>
      </c>
      <c r="C24" s="1" t="s">
        <v>53</v>
      </c>
      <c r="D24" s="1" t="s">
        <v>61</v>
      </c>
      <c r="E24" s="1" t="s">
        <v>233</v>
      </c>
      <c r="F24" s="1" t="s">
        <v>234</v>
      </c>
      <c r="G24" s="1" t="s">
        <v>235</v>
      </c>
      <c r="H24" s="1" t="s">
        <v>236</v>
      </c>
      <c r="I24" s="1" t="s">
        <v>237</v>
      </c>
      <c r="J24" s="1" t="s">
        <v>57</v>
      </c>
      <c r="K24" s="1" t="s">
        <v>58</v>
      </c>
      <c r="L24" s="1" t="s">
        <v>205</v>
      </c>
      <c r="M24" s="1" t="s">
        <v>167</v>
      </c>
      <c r="N24" s="1" t="s">
        <v>205</v>
      </c>
      <c r="O24" s="1" t="s">
        <v>55</v>
      </c>
      <c r="P24" s="1" t="s">
        <v>55</v>
      </c>
      <c r="Q24" s="1" t="s">
        <v>55</v>
      </c>
      <c r="R24" s="1" t="s">
        <v>55</v>
      </c>
      <c r="S24" s="1" t="s">
        <v>55</v>
      </c>
      <c r="T24" s="1" t="s">
        <v>55</v>
      </c>
      <c r="U24" s="1" t="s">
        <v>109</v>
      </c>
      <c r="V24" s="1" t="s">
        <v>55</v>
      </c>
      <c r="W24" s="1" t="s">
        <v>55</v>
      </c>
      <c r="X24" s="1" t="s">
        <v>55</v>
      </c>
      <c r="Y24" s="1" t="s">
        <v>55</v>
      </c>
      <c r="Z24" s="1" t="s">
        <v>55</v>
      </c>
      <c r="AA24" s="1" t="s">
        <v>55</v>
      </c>
      <c r="AB24" s="1" t="s">
        <v>55</v>
      </c>
      <c r="AC24" s="1" t="s">
        <v>55</v>
      </c>
      <c r="AD24" s="1" t="s">
        <v>55</v>
      </c>
      <c r="AE24" s="1" t="s">
        <v>55</v>
      </c>
      <c r="AF24" s="1" t="s">
        <v>55</v>
      </c>
      <c r="AG24" s="1" t="s">
        <v>55</v>
      </c>
      <c r="AH24" s="1" t="s">
        <v>84</v>
      </c>
      <c r="AI24" s="1" t="s">
        <v>55</v>
      </c>
      <c r="AJ24" s="1" t="s">
        <v>55</v>
      </c>
      <c r="AK24" s="1" t="s">
        <v>55</v>
      </c>
      <c r="AL24" s="1" t="s">
        <v>61</v>
      </c>
      <c r="AM24" s="1" t="s">
        <v>55</v>
      </c>
      <c r="AN24" s="1" t="s">
        <v>55</v>
      </c>
      <c r="AO24" s="1" t="s">
        <v>55</v>
      </c>
      <c r="AP24" s="1" t="s">
        <v>55</v>
      </c>
      <c r="AQ24" s="1" t="s">
        <v>55</v>
      </c>
      <c r="AR24" s="1" t="s">
        <v>55</v>
      </c>
      <c r="AS24" s="1" t="s">
        <v>55</v>
      </c>
      <c r="AT24" s="1" t="s">
        <v>55</v>
      </c>
      <c r="AU24" s="1" t="s">
        <v>55</v>
      </c>
      <c r="AV24" s="1" t="s">
        <v>55</v>
      </c>
      <c r="AW24" s="1" t="s">
        <v>55</v>
      </c>
      <c r="AX24" s="1" t="s">
        <v>55</v>
      </c>
      <c r="AY24" s="1" t="s">
        <v>55</v>
      </c>
      <c r="AZ24" s="1" t="s">
        <v>238</v>
      </c>
    </row>
    <row r="25" spans="1:52">
      <c r="A25" s="1" t="s">
        <v>239</v>
      </c>
      <c r="B25" s="1" t="s">
        <v>52</v>
      </c>
      <c r="C25" s="1" t="s">
        <v>53</v>
      </c>
      <c r="D25" s="1" t="s">
        <v>61</v>
      </c>
      <c r="E25" s="1" t="s">
        <v>240</v>
      </c>
      <c r="F25" s="1" t="s">
        <v>241</v>
      </c>
      <c r="G25" s="1" t="s">
        <v>242</v>
      </c>
      <c r="H25" s="1" t="s">
        <v>243</v>
      </c>
      <c r="I25" s="1" t="s">
        <v>244</v>
      </c>
      <c r="J25" s="1" t="s">
        <v>57</v>
      </c>
      <c r="K25" s="1" t="s">
        <v>58</v>
      </c>
      <c r="L25" s="1" t="s">
        <v>174</v>
      </c>
      <c r="M25" s="1" t="s">
        <v>167</v>
      </c>
      <c r="N25" s="1" t="s">
        <v>245</v>
      </c>
      <c r="O25" s="1" t="s">
        <v>55</v>
      </c>
      <c r="P25" s="1" t="s">
        <v>55</v>
      </c>
      <c r="Q25" s="1" t="s">
        <v>55</v>
      </c>
      <c r="R25" s="1" t="s">
        <v>55</v>
      </c>
      <c r="S25" s="1" t="s">
        <v>55</v>
      </c>
      <c r="T25" s="1" t="s">
        <v>55</v>
      </c>
      <c r="U25" s="1" t="s">
        <v>109</v>
      </c>
      <c r="V25" s="1" t="s">
        <v>55</v>
      </c>
      <c r="W25" s="1" t="s">
        <v>55</v>
      </c>
      <c r="X25" s="1" t="s">
        <v>55</v>
      </c>
      <c r="Y25" s="1" t="s">
        <v>55</v>
      </c>
      <c r="Z25" s="1" t="s">
        <v>55</v>
      </c>
      <c r="AA25" s="1" t="s">
        <v>55</v>
      </c>
      <c r="AB25" s="1" t="s">
        <v>55</v>
      </c>
      <c r="AC25" s="1" t="s">
        <v>55</v>
      </c>
      <c r="AD25" s="1" t="s">
        <v>55</v>
      </c>
      <c r="AE25" s="1" t="s">
        <v>55</v>
      </c>
      <c r="AF25" s="1" t="s">
        <v>55</v>
      </c>
      <c r="AG25" s="1" t="s">
        <v>55</v>
      </c>
      <c r="AH25" s="1" t="s">
        <v>84</v>
      </c>
      <c r="AI25" s="1" t="s">
        <v>55</v>
      </c>
      <c r="AJ25" s="1" t="s">
        <v>55</v>
      </c>
      <c r="AK25" s="1" t="s">
        <v>55</v>
      </c>
      <c r="AL25" s="1" t="s">
        <v>61</v>
      </c>
      <c r="AM25" s="1" t="s">
        <v>55</v>
      </c>
      <c r="AN25" s="1" t="s">
        <v>55</v>
      </c>
      <c r="AO25" s="1" t="s">
        <v>55</v>
      </c>
      <c r="AP25" s="1" t="s">
        <v>55</v>
      </c>
      <c r="AQ25" s="1" t="s">
        <v>55</v>
      </c>
      <c r="AR25" s="1" t="s">
        <v>55</v>
      </c>
      <c r="AS25" s="1" t="s">
        <v>55</v>
      </c>
      <c r="AT25" s="1" t="s">
        <v>55</v>
      </c>
      <c r="AU25" s="1" t="s">
        <v>55</v>
      </c>
      <c r="AV25" s="1" t="s">
        <v>55</v>
      </c>
      <c r="AW25" s="1" t="s">
        <v>55</v>
      </c>
      <c r="AX25" s="1" t="s">
        <v>55</v>
      </c>
      <c r="AY25" s="1" t="s">
        <v>55</v>
      </c>
      <c r="AZ25" s="1" t="s">
        <v>246</v>
      </c>
    </row>
    <row r="26" spans="1:52">
      <c r="A26" s="1" t="s">
        <v>247</v>
      </c>
      <c r="B26" s="1" t="s">
        <v>52</v>
      </c>
      <c r="C26" s="1" t="s">
        <v>53</v>
      </c>
      <c r="D26" s="1" t="s">
        <v>68</v>
      </c>
      <c r="E26" s="1" t="s">
        <v>240</v>
      </c>
      <c r="F26" s="1" t="s">
        <v>241</v>
      </c>
      <c r="G26" s="1" t="s">
        <v>242</v>
      </c>
      <c r="H26" s="1" t="s">
        <v>57</v>
      </c>
      <c r="I26" s="1" t="s">
        <v>248</v>
      </c>
      <c r="J26" s="1" t="s">
        <v>57</v>
      </c>
      <c r="K26" s="1" t="s">
        <v>58</v>
      </c>
      <c r="L26" s="1" t="s">
        <v>174</v>
      </c>
      <c r="M26" s="1" t="s">
        <v>167</v>
      </c>
      <c r="N26" s="1" t="s">
        <v>245</v>
      </c>
      <c r="O26" s="1" t="s">
        <v>55</v>
      </c>
      <c r="P26" s="1" t="s">
        <v>55</v>
      </c>
      <c r="Q26" s="1" t="s">
        <v>55</v>
      </c>
      <c r="R26" s="1" t="s">
        <v>55</v>
      </c>
      <c r="S26" s="1" t="s">
        <v>55</v>
      </c>
      <c r="T26" s="1" t="s">
        <v>55</v>
      </c>
      <c r="U26" s="1" t="s">
        <v>109</v>
      </c>
      <c r="V26" s="1" t="s">
        <v>55</v>
      </c>
      <c r="W26" s="1" t="s">
        <v>55</v>
      </c>
      <c r="X26" s="1" t="s">
        <v>55</v>
      </c>
      <c r="Y26" s="1" t="s">
        <v>55</v>
      </c>
      <c r="Z26" s="1" t="s">
        <v>55</v>
      </c>
      <c r="AA26" s="1" t="s">
        <v>55</v>
      </c>
      <c r="AB26" s="1" t="s">
        <v>55</v>
      </c>
      <c r="AC26" s="1" t="s">
        <v>55</v>
      </c>
      <c r="AD26" s="1" t="s">
        <v>55</v>
      </c>
      <c r="AE26" s="1" t="s">
        <v>55</v>
      </c>
      <c r="AF26" s="1" t="s">
        <v>55</v>
      </c>
      <c r="AG26" s="1" t="s">
        <v>55</v>
      </c>
      <c r="AH26" s="1" t="s">
        <v>84</v>
      </c>
      <c r="AI26" s="1" t="s">
        <v>55</v>
      </c>
      <c r="AJ26" s="1" t="s">
        <v>55</v>
      </c>
      <c r="AK26" s="1" t="s">
        <v>55</v>
      </c>
      <c r="AL26" s="1" t="s">
        <v>61</v>
      </c>
      <c r="AM26" s="1" t="s">
        <v>55</v>
      </c>
      <c r="AN26" s="1" t="s">
        <v>55</v>
      </c>
      <c r="AO26" s="1" t="s">
        <v>55</v>
      </c>
      <c r="AP26" s="1" t="s">
        <v>55</v>
      </c>
      <c r="AQ26" s="1" t="s">
        <v>55</v>
      </c>
      <c r="AR26" s="1" t="s">
        <v>55</v>
      </c>
      <c r="AS26" s="1" t="s">
        <v>55</v>
      </c>
      <c r="AT26" s="1" t="s">
        <v>55</v>
      </c>
      <c r="AU26" s="1" t="s">
        <v>55</v>
      </c>
      <c r="AV26" s="1" t="s">
        <v>55</v>
      </c>
      <c r="AW26" s="1" t="s">
        <v>55</v>
      </c>
      <c r="AX26" s="1" t="s">
        <v>55</v>
      </c>
      <c r="AY26" s="1" t="s">
        <v>55</v>
      </c>
      <c r="AZ26" s="1" t="s">
        <v>246</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CD43-D328-4373-819D-1B5741118432}">
  <dimension ref="A1:E81"/>
  <sheetViews>
    <sheetView zoomScale="115" zoomScaleNormal="115" workbookViewId="0">
      <selection activeCell="A2" sqref="A2"/>
    </sheetView>
  </sheetViews>
  <sheetFormatPr defaultRowHeight="18.75"/>
  <cols>
    <col min="1" max="1" width="19.75" style="1" bestFit="1" customWidth="1"/>
    <col min="2" max="3" width="12" style="1" customWidth="1"/>
    <col min="4" max="4" width="35.625" style="1" bestFit="1" customWidth="1"/>
    <col min="5" max="16384" width="9" style="1"/>
  </cols>
  <sheetData>
    <row r="1" spans="1:5">
      <c r="A1" s="1" t="s">
        <v>0</v>
      </c>
      <c r="B1" s="1" t="s">
        <v>1</v>
      </c>
      <c r="C1" s="1" t="s">
        <v>2</v>
      </c>
      <c r="D1" s="1" t="s">
        <v>249</v>
      </c>
      <c r="E1" s="1" t="s">
        <v>250</v>
      </c>
    </row>
    <row r="2" spans="1:5">
      <c r="A2" s="1" t="s">
        <v>54</v>
      </c>
      <c r="B2" s="1" t="s">
        <v>251</v>
      </c>
      <c r="C2" s="1" t="s">
        <v>252</v>
      </c>
      <c r="D2" s="1" t="s">
        <v>61</v>
      </c>
      <c r="E2" s="1" t="s">
        <v>68</v>
      </c>
    </row>
    <row r="3" spans="1:5">
      <c r="A3" s="1" t="s">
        <v>253</v>
      </c>
      <c r="B3" s="1" t="s">
        <v>251</v>
      </c>
      <c r="C3" s="1" t="s">
        <v>252</v>
      </c>
      <c r="D3" s="1" t="s">
        <v>109</v>
      </c>
      <c r="E3" s="1" t="s">
        <v>55</v>
      </c>
    </row>
    <row r="4" spans="1:5">
      <c r="A4" s="1" t="s">
        <v>254</v>
      </c>
      <c r="B4" s="1" t="s">
        <v>251</v>
      </c>
      <c r="C4" s="1" t="s">
        <v>252</v>
      </c>
      <c r="D4" s="1" t="s">
        <v>84</v>
      </c>
      <c r="E4" s="1" t="s">
        <v>61</v>
      </c>
    </row>
    <row r="5" spans="1:5">
      <c r="A5" s="1" t="s">
        <v>255</v>
      </c>
      <c r="B5" s="1" t="s">
        <v>251</v>
      </c>
      <c r="C5" s="1" t="s">
        <v>252</v>
      </c>
      <c r="D5" s="1" t="s">
        <v>109</v>
      </c>
      <c r="E5" s="1" t="s">
        <v>55</v>
      </c>
    </row>
    <row r="6" spans="1:5">
      <c r="A6" s="1" t="s">
        <v>256</v>
      </c>
      <c r="B6" s="1" t="s">
        <v>251</v>
      </c>
      <c r="C6" s="1" t="s">
        <v>252</v>
      </c>
      <c r="D6" s="1" t="s">
        <v>84</v>
      </c>
      <c r="E6" s="1" t="s">
        <v>84</v>
      </c>
    </row>
    <row r="7" spans="1:5">
      <c r="A7" s="1" t="s">
        <v>257</v>
      </c>
      <c r="B7" s="1" t="s">
        <v>251</v>
      </c>
      <c r="C7" s="1" t="s">
        <v>252</v>
      </c>
      <c r="D7" s="1" t="s">
        <v>109</v>
      </c>
      <c r="E7" s="1" t="s">
        <v>55</v>
      </c>
    </row>
    <row r="8" spans="1:5">
      <c r="A8" s="1" t="s">
        <v>258</v>
      </c>
      <c r="B8" s="1" t="s">
        <v>251</v>
      </c>
      <c r="C8" s="1" t="s">
        <v>252</v>
      </c>
      <c r="D8" s="1" t="s">
        <v>84</v>
      </c>
      <c r="E8" s="1" t="s">
        <v>84</v>
      </c>
    </row>
    <row r="9" spans="1:5">
      <c r="A9" s="1" t="s">
        <v>259</v>
      </c>
      <c r="B9" s="1" t="s">
        <v>251</v>
      </c>
      <c r="C9" s="1" t="s">
        <v>252</v>
      </c>
      <c r="D9" s="1" t="s">
        <v>109</v>
      </c>
      <c r="E9" s="1" t="s">
        <v>55</v>
      </c>
    </row>
    <row r="10" spans="1:5">
      <c r="A10" s="1" t="s">
        <v>260</v>
      </c>
      <c r="B10" s="1" t="s">
        <v>251</v>
      </c>
      <c r="C10" s="1" t="s">
        <v>252</v>
      </c>
      <c r="D10" s="1" t="s">
        <v>84</v>
      </c>
      <c r="E10" s="1" t="s">
        <v>84</v>
      </c>
    </row>
    <row r="11" spans="1:5">
      <c r="A11" s="1" t="s">
        <v>261</v>
      </c>
      <c r="B11" s="1" t="s">
        <v>251</v>
      </c>
      <c r="C11" s="1" t="s">
        <v>252</v>
      </c>
      <c r="D11" s="1" t="s">
        <v>109</v>
      </c>
      <c r="E11" s="1" t="s">
        <v>55</v>
      </c>
    </row>
    <row r="12" spans="1:5">
      <c r="A12" s="1" t="s">
        <v>262</v>
      </c>
      <c r="B12" s="1" t="s">
        <v>251</v>
      </c>
      <c r="C12" s="1" t="s">
        <v>252</v>
      </c>
      <c r="D12" s="1" t="s">
        <v>84</v>
      </c>
      <c r="E12" s="1" t="s">
        <v>61</v>
      </c>
    </row>
    <row r="13" spans="1:5">
      <c r="A13" s="1" t="s">
        <v>263</v>
      </c>
      <c r="B13" s="1" t="s">
        <v>251</v>
      </c>
      <c r="C13" s="1" t="s">
        <v>252</v>
      </c>
      <c r="D13" s="1" t="s">
        <v>109</v>
      </c>
      <c r="E13" s="1" t="s">
        <v>55</v>
      </c>
    </row>
    <row r="14" spans="1:5">
      <c r="A14" s="1" t="s">
        <v>264</v>
      </c>
      <c r="B14" s="1" t="s">
        <v>251</v>
      </c>
      <c r="C14" s="1" t="s">
        <v>252</v>
      </c>
      <c r="D14" s="1" t="s">
        <v>84</v>
      </c>
      <c r="E14" s="1" t="s">
        <v>61</v>
      </c>
    </row>
    <row r="15" spans="1:5">
      <c r="A15" s="1" t="s">
        <v>265</v>
      </c>
      <c r="B15" s="1" t="s">
        <v>251</v>
      </c>
      <c r="C15" s="1" t="s">
        <v>252</v>
      </c>
      <c r="D15" s="1" t="s">
        <v>109</v>
      </c>
      <c r="E15" s="1" t="s">
        <v>55</v>
      </c>
    </row>
    <row r="16" spans="1:5">
      <c r="A16" s="1" t="s">
        <v>266</v>
      </c>
      <c r="B16" s="1" t="s">
        <v>251</v>
      </c>
      <c r="C16" s="1" t="s">
        <v>252</v>
      </c>
      <c r="D16" s="1" t="s">
        <v>84</v>
      </c>
      <c r="E16" s="1" t="s">
        <v>167</v>
      </c>
    </row>
    <row r="17" spans="1:5">
      <c r="A17" s="1" t="s">
        <v>267</v>
      </c>
      <c r="B17" s="1" t="s">
        <v>251</v>
      </c>
      <c r="C17" s="1" t="s">
        <v>252</v>
      </c>
      <c r="D17" s="1" t="s">
        <v>109</v>
      </c>
      <c r="E17" s="1" t="s">
        <v>55</v>
      </c>
    </row>
    <row r="18" spans="1:5">
      <c r="A18" s="1" t="s">
        <v>268</v>
      </c>
      <c r="B18" s="1" t="s">
        <v>251</v>
      </c>
      <c r="C18" s="1" t="s">
        <v>252</v>
      </c>
      <c r="D18" s="1" t="s">
        <v>84</v>
      </c>
      <c r="E18" s="1" t="s">
        <v>167</v>
      </c>
    </row>
    <row r="19" spans="1:5">
      <c r="A19" s="1" t="s">
        <v>269</v>
      </c>
      <c r="B19" s="1" t="s">
        <v>251</v>
      </c>
      <c r="C19" s="1" t="s">
        <v>252</v>
      </c>
      <c r="D19" s="1" t="s">
        <v>109</v>
      </c>
      <c r="E19" s="1" t="s">
        <v>55</v>
      </c>
    </row>
    <row r="20" spans="1:5">
      <c r="A20" s="1" t="s">
        <v>270</v>
      </c>
      <c r="B20" s="1" t="s">
        <v>251</v>
      </c>
      <c r="C20" s="1" t="s">
        <v>252</v>
      </c>
      <c r="D20" s="1" t="s">
        <v>84</v>
      </c>
      <c r="E20" s="1" t="s">
        <v>84</v>
      </c>
    </row>
    <row r="21" spans="1:5">
      <c r="A21" s="1" t="s">
        <v>271</v>
      </c>
      <c r="B21" s="1" t="s">
        <v>251</v>
      </c>
      <c r="C21" s="1" t="s">
        <v>252</v>
      </c>
      <c r="D21" s="1" t="s">
        <v>109</v>
      </c>
      <c r="E21" s="1" t="s">
        <v>55</v>
      </c>
    </row>
    <row r="22" spans="1:5">
      <c r="A22" s="1" t="s">
        <v>272</v>
      </c>
      <c r="B22" s="1" t="s">
        <v>251</v>
      </c>
      <c r="C22" s="1" t="s">
        <v>252</v>
      </c>
      <c r="D22" s="1" t="s">
        <v>84</v>
      </c>
      <c r="E22" s="1" t="s">
        <v>84</v>
      </c>
    </row>
    <row r="23" spans="1:5">
      <c r="A23" s="1" t="s">
        <v>273</v>
      </c>
      <c r="B23" s="1" t="s">
        <v>251</v>
      </c>
      <c r="C23" s="1" t="s">
        <v>252</v>
      </c>
      <c r="D23" s="1" t="s">
        <v>109</v>
      </c>
      <c r="E23" s="1" t="s">
        <v>55</v>
      </c>
    </row>
    <row r="24" spans="1:5">
      <c r="A24" s="1" t="s">
        <v>274</v>
      </c>
      <c r="B24" s="1" t="s">
        <v>251</v>
      </c>
      <c r="C24" s="1" t="s">
        <v>252</v>
      </c>
      <c r="D24" s="1" t="s">
        <v>84</v>
      </c>
      <c r="E24" s="1" t="s">
        <v>84</v>
      </c>
    </row>
    <row r="25" spans="1:5">
      <c r="A25" s="1" t="s">
        <v>275</v>
      </c>
      <c r="B25" s="1" t="s">
        <v>251</v>
      </c>
      <c r="C25" s="1" t="s">
        <v>252</v>
      </c>
      <c r="D25" s="1" t="s">
        <v>109</v>
      </c>
      <c r="E25" s="1" t="s">
        <v>55</v>
      </c>
    </row>
    <row r="26" spans="1:5">
      <c r="A26" s="1" t="s">
        <v>276</v>
      </c>
      <c r="B26" s="1" t="s">
        <v>251</v>
      </c>
      <c r="C26" s="1" t="s">
        <v>252</v>
      </c>
      <c r="D26" s="1" t="s">
        <v>84</v>
      </c>
      <c r="E26" s="1" t="s">
        <v>277</v>
      </c>
    </row>
    <row r="27" spans="1:5">
      <c r="A27" s="1" t="s">
        <v>278</v>
      </c>
      <c r="B27" s="1" t="s">
        <v>251</v>
      </c>
      <c r="C27" s="1" t="s">
        <v>252</v>
      </c>
      <c r="D27" s="1" t="s">
        <v>109</v>
      </c>
      <c r="E27" s="1" t="s">
        <v>55</v>
      </c>
    </row>
    <row r="28" spans="1:5">
      <c r="A28" s="1" t="s">
        <v>279</v>
      </c>
      <c r="B28" s="1" t="s">
        <v>251</v>
      </c>
      <c r="C28" s="1" t="s">
        <v>252</v>
      </c>
      <c r="D28" s="1" t="s">
        <v>84</v>
      </c>
      <c r="E28" s="1" t="s">
        <v>280</v>
      </c>
    </row>
    <row r="29" spans="1:5">
      <c r="A29" s="1" t="s">
        <v>281</v>
      </c>
      <c r="B29" s="1" t="s">
        <v>251</v>
      </c>
      <c r="C29" s="1" t="s">
        <v>252</v>
      </c>
      <c r="D29" s="1" t="s">
        <v>109</v>
      </c>
      <c r="E29" s="1" t="s">
        <v>55</v>
      </c>
    </row>
    <row r="30" spans="1:5">
      <c r="A30" s="1" t="s">
        <v>282</v>
      </c>
      <c r="B30" s="1" t="s">
        <v>251</v>
      </c>
      <c r="C30" s="1" t="s">
        <v>252</v>
      </c>
      <c r="D30" s="1" t="s">
        <v>84</v>
      </c>
      <c r="E30" s="1" t="s">
        <v>280</v>
      </c>
    </row>
    <row r="31" spans="1:5">
      <c r="A31" s="1" t="s">
        <v>283</v>
      </c>
      <c r="B31" s="1" t="s">
        <v>251</v>
      </c>
      <c r="C31" s="1" t="s">
        <v>252</v>
      </c>
      <c r="D31" s="1" t="s">
        <v>109</v>
      </c>
      <c r="E31" s="1" t="s">
        <v>55</v>
      </c>
    </row>
    <row r="32" spans="1:5">
      <c r="A32" s="1" t="s">
        <v>284</v>
      </c>
      <c r="B32" s="1" t="s">
        <v>251</v>
      </c>
      <c r="C32" s="1" t="s">
        <v>252</v>
      </c>
      <c r="D32" s="1" t="s">
        <v>84</v>
      </c>
      <c r="E32" s="1" t="s">
        <v>84</v>
      </c>
    </row>
    <row r="33" spans="1:5">
      <c r="A33" s="1" t="s">
        <v>285</v>
      </c>
      <c r="B33" s="1" t="s">
        <v>251</v>
      </c>
      <c r="C33" s="1" t="s">
        <v>252</v>
      </c>
      <c r="D33" s="1" t="s">
        <v>109</v>
      </c>
      <c r="E33" s="1" t="s">
        <v>55</v>
      </c>
    </row>
    <row r="34" spans="1:5">
      <c r="A34" s="1" t="s">
        <v>286</v>
      </c>
      <c r="B34" s="1" t="s">
        <v>251</v>
      </c>
      <c r="C34" s="1" t="s">
        <v>252</v>
      </c>
      <c r="D34" s="1" t="s">
        <v>84</v>
      </c>
      <c r="E34" s="1" t="s">
        <v>84</v>
      </c>
    </row>
    <row r="35" spans="1:5">
      <c r="A35" s="1" t="s">
        <v>287</v>
      </c>
      <c r="B35" s="1" t="s">
        <v>251</v>
      </c>
      <c r="C35" s="1" t="s">
        <v>252</v>
      </c>
      <c r="D35" s="1" t="s">
        <v>109</v>
      </c>
      <c r="E35" s="1" t="s">
        <v>55</v>
      </c>
    </row>
    <row r="36" spans="1:5">
      <c r="A36" s="1" t="s">
        <v>288</v>
      </c>
      <c r="B36" s="1" t="s">
        <v>251</v>
      </c>
      <c r="C36" s="1" t="s">
        <v>252</v>
      </c>
      <c r="D36" s="1" t="s">
        <v>84</v>
      </c>
      <c r="E36" s="1" t="s">
        <v>109</v>
      </c>
    </row>
    <row r="37" spans="1:5">
      <c r="A37" s="1" t="s">
        <v>289</v>
      </c>
      <c r="B37" s="1" t="s">
        <v>251</v>
      </c>
      <c r="C37" s="1" t="s">
        <v>252</v>
      </c>
      <c r="D37" s="1" t="s">
        <v>109</v>
      </c>
      <c r="E37" s="1" t="s">
        <v>55</v>
      </c>
    </row>
    <row r="38" spans="1:5">
      <c r="A38" s="1" t="s">
        <v>290</v>
      </c>
      <c r="B38" s="1" t="s">
        <v>251</v>
      </c>
      <c r="C38" s="1" t="s">
        <v>252</v>
      </c>
      <c r="D38" s="1" t="s">
        <v>84</v>
      </c>
      <c r="E38" s="1" t="s">
        <v>84</v>
      </c>
    </row>
    <row r="39" spans="1:5">
      <c r="A39" s="1" t="s">
        <v>291</v>
      </c>
      <c r="B39" s="1" t="s">
        <v>251</v>
      </c>
      <c r="C39" s="1" t="s">
        <v>252</v>
      </c>
      <c r="D39" s="1" t="s">
        <v>109</v>
      </c>
      <c r="E39" s="1" t="s">
        <v>55</v>
      </c>
    </row>
    <row r="40" spans="1:5">
      <c r="A40" s="1" t="s">
        <v>292</v>
      </c>
      <c r="B40" s="1" t="s">
        <v>251</v>
      </c>
      <c r="C40" s="1" t="s">
        <v>252</v>
      </c>
      <c r="D40" s="1" t="s">
        <v>84</v>
      </c>
      <c r="E40" s="1" t="s">
        <v>277</v>
      </c>
    </row>
    <row r="41" spans="1:5">
      <c r="A41" s="1" t="s">
        <v>293</v>
      </c>
      <c r="B41" s="1" t="s">
        <v>251</v>
      </c>
      <c r="C41" s="1" t="s">
        <v>252</v>
      </c>
      <c r="D41" s="1" t="s">
        <v>109</v>
      </c>
      <c r="E41" s="1" t="s">
        <v>55</v>
      </c>
    </row>
    <row r="42" spans="1:5">
      <c r="A42" s="1" t="s">
        <v>294</v>
      </c>
      <c r="B42" s="1" t="s">
        <v>251</v>
      </c>
      <c r="C42" s="1" t="s">
        <v>252</v>
      </c>
      <c r="D42" s="1" t="s">
        <v>84</v>
      </c>
      <c r="E42" s="1" t="s">
        <v>277</v>
      </c>
    </row>
    <row r="43" spans="1:5">
      <c r="A43" s="1" t="s">
        <v>295</v>
      </c>
      <c r="B43" s="1" t="s">
        <v>251</v>
      </c>
      <c r="C43" s="1" t="s">
        <v>252</v>
      </c>
      <c r="D43" s="1" t="s">
        <v>109</v>
      </c>
      <c r="E43" s="1" t="s">
        <v>55</v>
      </c>
    </row>
    <row r="44" spans="1:5">
      <c r="A44" s="1" t="s">
        <v>296</v>
      </c>
      <c r="B44" s="1" t="s">
        <v>251</v>
      </c>
      <c r="C44" s="1" t="s">
        <v>252</v>
      </c>
      <c r="D44" s="1" t="s">
        <v>84</v>
      </c>
      <c r="E44" s="1" t="s">
        <v>297</v>
      </c>
    </row>
    <row r="45" spans="1:5">
      <c r="A45" s="1" t="s">
        <v>298</v>
      </c>
      <c r="B45" s="1" t="s">
        <v>251</v>
      </c>
      <c r="C45" s="1" t="s">
        <v>252</v>
      </c>
      <c r="D45" s="1" t="s">
        <v>109</v>
      </c>
      <c r="E45" s="1" t="s">
        <v>55</v>
      </c>
    </row>
    <row r="46" spans="1:5">
      <c r="A46" s="1" t="s">
        <v>299</v>
      </c>
      <c r="B46" s="1" t="s">
        <v>251</v>
      </c>
      <c r="C46" s="1" t="s">
        <v>252</v>
      </c>
      <c r="D46" s="1" t="s">
        <v>84</v>
      </c>
      <c r="E46" s="1" t="s">
        <v>280</v>
      </c>
    </row>
    <row r="47" spans="1:5">
      <c r="A47" s="1" t="s">
        <v>300</v>
      </c>
      <c r="B47" s="1" t="s">
        <v>251</v>
      </c>
      <c r="C47" s="1" t="s">
        <v>252</v>
      </c>
      <c r="D47" s="1" t="s">
        <v>109</v>
      </c>
      <c r="E47" s="1" t="s">
        <v>55</v>
      </c>
    </row>
    <row r="48" spans="1:5">
      <c r="A48" s="1" t="s">
        <v>301</v>
      </c>
      <c r="B48" s="1" t="s">
        <v>251</v>
      </c>
      <c r="C48" s="1" t="s">
        <v>252</v>
      </c>
      <c r="D48" s="1" t="s">
        <v>84</v>
      </c>
      <c r="E48" s="1" t="s">
        <v>84</v>
      </c>
    </row>
    <row r="49" spans="1:5">
      <c r="A49" s="1" t="s">
        <v>302</v>
      </c>
      <c r="B49" s="1" t="s">
        <v>251</v>
      </c>
      <c r="C49" s="1" t="s">
        <v>252</v>
      </c>
      <c r="D49" s="1" t="s">
        <v>109</v>
      </c>
      <c r="E49" s="1" t="s">
        <v>55</v>
      </c>
    </row>
    <row r="50" spans="1:5">
      <c r="A50" s="1" t="s">
        <v>303</v>
      </c>
      <c r="B50" s="1" t="s">
        <v>251</v>
      </c>
      <c r="C50" s="1" t="s">
        <v>252</v>
      </c>
      <c r="D50" s="1" t="s">
        <v>84</v>
      </c>
      <c r="E50" s="1" t="s">
        <v>277</v>
      </c>
    </row>
    <row r="51" spans="1:5">
      <c r="A51" s="1" t="s">
        <v>304</v>
      </c>
      <c r="B51" s="1" t="s">
        <v>251</v>
      </c>
      <c r="C51" s="1" t="s">
        <v>252</v>
      </c>
      <c r="D51" s="1" t="s">
        <v>109</v>
      </c>
      <c r="E51" s="1" t="s">
        <v>55</v>
      </c>
    </row>
    <row r="52" spans="1:5">
      <c r="A52" s="1" t="s">
        <v>305</v>
      </c>
      <c r="B52" s="1" t="s">
        <v>251</v>
      </c>
      <c r="C52" s="1" t="s">
        <v>252</v>
      </c>
      <c r="D52" s="1" t="s">
        <v>84</v>
      </c>
      <c r="E52" s="1" t="s">
        <v>84</v>
      </c>
    </row>
    <row r="53" spans="1:5">
      <c r="A53" s="1" t="s">
        <v>306</v>
      </c>
      <c r="B53" s="1" t="s">
        <v>251</v>
      </c>
      <c r="C53" s="1" t="s">
        <v>252</v>
      </c>
      <c r="D53" s="1" t="s">
        <v>109</v>
      </c>
      <c r="E53" s="1" t="s">
        <v>55</v>
      </c>
    </row>
    <row r="54" spans="1:5">
      <c r="A54" s="1" t="s">
        <v>307</v>
      </c>
      <c r="B54" s="1" t="s">
        <v>251</v>
      </c>
      <c r="C54" s="1" t="s">
        <v>252</v>
      </c>
      <c r="D54" s="1" t="s">
        <v>84</v>
      </c>
      <c r="E54" s="1" t="s">
        <v>84</v>
      </c>
    </row>
    <row r="55" spans="1:5">
      <c r="A55" s="1" t="s">
        <v>308</v>
      </c>
      <c r="B55" s="1" t="s">
        <v>251</v>
      </c>
      <c r="C55" s="1" t="s">
        <v>252</v>
      </c>
      <c r="D55" s="1" t="s">
        <v>109</v>
      </c>
      <c r="E55" s="1" t="s">
        <v>55</v>
      </c>
    </row>
    <row r="56" spans="1:5">
      <c r="A56" s="1" t="s">
        <v>309</v>
      </c>
      <c r="B56" s="1" t="s">
        <v>251</v>
      </c>
      <c r="C56" s="1" t="s">
        <v>252</v>
      </c>
      <c r="D56" s="1" t="s">
        <v>84</v>
      </c>
      <c r="E56" s="1" t="s">
        <v>84</v>
      </c>
    </row>
    <row r="57" spans="1:5">
      <c r="A57" s="1" t="s">
        <v>310</v>
      </c>
      <c r="B57" s="1" t="s">
        <v>251</v>
      </c>
      <c r="C57" s="1" t="s">
        <v>252</v>
      </c>
      <c r="D57" s="1" t="s">
        <v>109</v>
      </c>
      <c r="E57" s="1" t="s">
        <v>55</v>
      </c>
    </row>
    <row r="58" spans="1:5">
      <c r="A58" s="1" t="s">
        <v>311</v>
      </c>
      <c r="B58" s="1" t="s">
        <v>251</v>
      </c>
      <c r="C58" s="1" t="s">
        <v>252</v>
      </c>
      <c r="D58" s="1" t="s">
        <v>84</v>
      </c>
      <c r="E58" s="1" t="s">
        <v>84</v>
      </c>
    </row>
    <row r="59" spans="1:5">
      <c r="A59" s="1" t="s">
        <v>312</v>
      </c>
      <c r="B59" s="1" t="s">
        <v>251</v>
      </c>
      <c r="C59" s="1" t="s">
        <v>252</v>
      </c>
      <c r="D59" s="1" t="s">
        <v>109</v>
      </c>
      <c r="E59" s="1" t="s">
        <v>55</v>
      </c>
    </row>
    <row r="60" spans="1:5">
      <c r="A60" s="1" t="s">
        <v>313</v>
      </c>
      <c r="B60" s="1" t="s">
        <v>251</v>
      </c>
      <c r="C60" s="1" t="s">
        <v>252</v>
      </c>
      <c r="D60" s="1" t="s">
        <v>84</v>
      </c>
      <c r="E60" s="1" t="s">
        <v>280</v>
      </c>
    </row>
    <row r="61" spans="1:5">
      <c r="A61" s="1" t="s">
        <v>314</v>
      </c>
      <c r="B61" s="1" t="s">
        <v>251</v>
      </c>
      <c r="C61" s="1" t="s">
        <v>252</v>
      </c>
      <c r="D61" s="1" t="s">
        <v>109</v>
      </c>
      <c r="E61" s="1" t="s">
        <v>55</v>
      </c>
    </row>
    <row r="62" spans="1:5">
      <c r="A62" s="1" t="s">
        <v>315</v>
      </c>
      <c r="B62" s="1" t="s">
        <v>251</v>
      </c>
      <c r="C62" s="1" t="s">
        <v>252</v>
      </c>
      <c r="D62" s="1" t="s">
        <v>84</v>
      </c>
      <c r="E62" s="1" t="s">
        <v>277</v>
      </c>
    </row>
    <row r="63" spans="1:5">
      <c r="A63" s="1" t="s">
        <v>316</v>
      </c>
      <c r="B63" s="1" t="s">
        <v>251</v>
      </c>
      <c r="C63" s="1" t="s">
        <v>252</v>
      </c>
      <c r="D63" s="1" t="s">
        <v>109</v>
      </c>
      <c r="E63" s="1" t="s">
        <v>55</v>
      </c>
    </row>
    <row r="64" spans="1:5">
      <c r="A64" s="1" t="s">
        <v>317</v>
      </c>
      <c r="B64" s="1" t="s">
        <v>251</v>
      </c>
      <c r="C64" s="1" t="s">
        <v>252</v>
      </c>
      <c r="D64" s="1" t="s">
        <v>84</v>
      </c>
      <c r="E64" s="1" t="s">
        <v>84</v>
      </c>
    </row>
    <row r="65" spans="1:5">
      <c r="A65" s="1" t="s">
        <v>318</v>
      </c>
      <c r="B65" s="1" t="s">
        <v>251</v>
      </c>
      <c r="C65" s="1" t="s">
        <v>252</v>
      </c>
      <c r="D65" s="1" t="s">
        <v>109</v>
      </c>
      <c r="E65" s="1" t="s">
        <v>55</v>
      </c>
    </row>
    <row r="66" spans="1:5">
      <c r="A66" s="1" t="s">
        <v>319</v>
      </c>
      <c r="B66" s="1" t="s">
        <v>251</v>
      </c>
      <c r="C66" s="1" t="s">
        <v>252</v>
      </c>
      <c r="D66" s="1" t="s">
        <v>84</v>
      </c>
      <c r="E66" s="1" t="s">
        <v>277</v>
      </c>
    </row>
    <row r="67" spans="1:5">
      <c r="A67" s="1" t="s">
        <v>320</v>
      </c>
      <c r="B67" s="1" t="s">
        <v>251</v>
      </c>
      <c r="C67" s="1" t="s">
        <v>252</v>
      </c>
      <c r="D67" s="1" t="s">
        <v>109</v>
      </c>
      <c r="E67" s="1" t="s">
        <v>55</v>
      </c>
    </row>
    <row r="68" spans="1:5">
      <c r="A68" s="1" t="s">
        <v>321</v>
      </c>
      <c r="B68" s="1" t="s">
        <v>251</v>
      </c>
      <c r="C68" s="1" t="s">
        <v>252</v>
      </c>
      <c r="D68" s="1" t="s">
        <v>84</v>
      </c>
      <c r="E68" s="1" t="s">
        <v>84</v>
      </c>
    </row>
    <row r="69" spans="1:5">
      <c r="A69" s="1" t="s">
        <v>322</v>
      </c>
      <c r="B69" s="1" t="s">
        <v>251</v>
      </c>
      <c r="C69" s="1" t="s">
        <v>252</v>
      </c>
      <c r="D69" s="1" t="s">
        <v>109</v>
      </c>
      <c r="E69" s="1" t="s">
        <v>55</v>
      </c>
    </row>
    <row r="70" spans="1:5">
      <c r="A70" s="1" t="s">
        <v>323</v>
      </c>
      <c r="B70" s="1" t="s">
        <v>251</v>
      </c>
      <c r="C70" s="1" t="s">
        <v>252</v>
      </c>
      <c r="D70" s="1" t="s">
        <v>84</v>
      </c>
      <c r="E70" s="1" t="s">
        <v>324</v>
      </c>
    </row>
    <row r="71" spans="1:5">
      <c r="A71" s="1" t="s">
        <v>325</v>
      </c>
      <c r="B71" s="1" t="s">
        <v>251</v>
      </c>
      <c r="C71" s="1" t="s">
        <v>252</v>
      </c>
      <c r="D71" s="1" t="s">
        <v>109</v>
      </c>
      <c r="E71" s="1" t="s">
        <v>55</v>
      </c>
    </row>
    <row r="72" spans="1:5">
      <c r="A72" s="1" t="s">
        <v>326</v>
      </c>
      <c r="B72" s="1" t="s">
        <v>251</v>
      </c>
      <c r="C72" s="1" t="s">
        <v>252</v>
      </c>
      <c r="D72" s="1" t="s">
        <v>84</v>
      </c>
      <c r="E72" s="1" t="s">
        <v>84</v>
      </c>
    </row>
    <row r="73" spans="1:5">
      <c r="A73" s="1" t="s">
        <v>327</v>
      </c>
      <c r="B73" s="1" t="s">
        <v>251</v>
      </c>
      <c r="C73" s="1" t="s">
        <v>252</v>
      </c>
      <c r="D73" s="1" t="s">
        <v>109</v>
      </c>
      <c r="E73" s="1" t="s">
        <v>55</v>
      </c>
    </row>
    <row r="74" spans="1:5">
      <c r="A74" s="1" t="s">
        <v>328</v>
      </c>
      <c r="B74" s="1" t="s">
        <v>251</v>
      </c>
      <c r="C74" s="1" t="s">
        <v>252</v>
      </c>
      <c r="D74" s="1" t="s">
        <v>84</v>
      </c>
      <c r="E74" s="1" t="s">
        <v>280</v>
      </c>
    </row>
    <row r="75" spans="1:5">
      <c r="A75" s="1" t="s">
        <v>329</v>
      </c>
      <c r="B75" s="1" t="s">
        <v>251</v>
      </c>
      <c r="C75" s="1" t="s">
        <v>252</v>
      </c>
      <c r="D75" s="1" t="s">
        <v>109</v>
      </c>
      <c r="E75" s="1" t="s">
        <v>55</v>
      </c>
    </row>
    <row r="76" spans="1:5">
      <c r="A76" s="1" t="s">
        <v>330</v>
      </c>
      <c r="B76" s="1" t="s">
        <v>251</v>
      </c>
      <c r="C76" s="1" t="s">
        <v>252</v>
      </c>
      <c r="D76" s="1" t="s">
        <v>84</v>
      </c>
      <c r="E76" s="1" t="s">
        <v>84</v>
      </c>
    </row>
    <row r="77" spans="1:5">
      <c r="A77" s="1" t="s">
        <v>331</v>
      </c>
      <c r="B77" s="1" t="s">
        <v>251</v>
      </c>
      <c r="C77" s="1" t="s">
        <v>252</v>
      </c>
      <c r="D77" s="1" t="s">
        <v>109</v>
      </c>
      <c r="E77" s="1" t="s">
        <v>55</v>
      </c>
    </row>
    <row r="78" spans="1:5">
      <c r="A78" s="1" t="s">
        <v>332</v>
      </c>
      <c r="B78" s="1" t="s">
        <v>251</v>
      </c>
      <c r="C78" s="1" t="s">
        <v>252</v>
      </c>
      <c r="D78" s="1" t="s">
        <v>84</v>
      </c>
      <c r="E78" s="1" t="s">
        <v>280</v>
      </c>
    </row>
    <row r="79" spans="1:5">
      <c r="A79" s="1" t="s">
        <v>333</v>
      </c>
      <c r="B79" s="1" t="s">
        <v>251</v>
      </c>
      <c r="C79" s="1" t="s">
        <v>252</v>
      </c>
      <c r="D79" s="1" t="s">
        <v>109</v>
      </c>
      <c r="E79" s="1" t="s">
        <v>55</v>
      </c>
    </row>
    <row r="80" spans="1:5">
      <c r="A80" s="1" t="s">
        <v>334</v>
      </c>
      <c r="B80" s="1" t="s">
        <v>251</v>
      </c>
      <c r="C80" s="1" t="s">
        <v>252</v>
      </c>
      <c r="D80" s="1" t="s">
        <v>84</v>
      </c>
      <c r="E80" s="1" t="s">
        <v>68</v>
      </c>
    </row>
    <row r="81" spans="1:5">
      <c r="A81" s="1" t="s">
        <v>247</v>
      </c>
      <c r="B81" s="1" t="s">
        <v>251</v>
      </c>
      <c r="C81" s="1" t="s">
        <v>252</v>
      </c>
      <c r="D81" s="1" t="s">
        <v>68</v>
      </c>
      <c r="E81" s="1" t="s">
        <v>68</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8512D-35DE-4A32-A488-102D3B13697F}">
  <dimension ref="A1:B10"/>
  <sheetViews>
    <sheetView workbookViewId="0">
      <selection activeCell="B5" sqref="B5"/>
    </sheetView>
  </sheetViews>
  <sheetFormatPr defaultRowHeight="18.75"/>
  <cols>
    <col min="1" max="1" width="4.125" customWidth="1"/>
    <col min="2" max="2" width="98.75" customWidth="1"/>
  </cols>
  <sheetData>
    <row r="1" spans="1:2">
      <c r="A1" t="s">
        <v>338</v>
      </c>
    </row>
    <row r="2" spans="1:2">
      <c r="B2" s="12" t="s">
        <v>357</v>
      </c>
    </row>
    <row r="3" spans="1:2" ht="168.75">
      <c r="B3" s="11" t="s">
        <v>339</v>
      </c>
    </row>
    <row r="4" spans="1:2" ht="112.5">
      <c r="B4" s="11" t="s">
        <v>340</v>
      </c>
    </row>
    <row r="5" spans="1:2">
      <c r="B5" s="5"/>
    </row>
    <row r="6" spans="1:2">
      <c r="B6" s="5"/>
    </row>
    <row r="7" spans="1:2">
      <c r="B7" s="5"/>
    </row>
    <row r="8" spans="1:2">
      <c r="B8" s="5"/>
    </row>
    <row r="9" spans="1:2">
      <c r="B9" s="5"/>
    </row>
    <row r="10" spans="1:2">
      <c r="B10" s="5"/>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9554-E69D-4CE6-801A-C7EE736BB725}">
  <dimension ref="C2"/>
  <sheetViews>
    <sheetView showGridLines="0" topLeftCell="A16" zoomScale="175" zoomScaleNormal="175" workbookViewId="0">
      <selection activeCell="Q30" sqref="Q30"/>
    </sheetView>
  </sheetViews>
  <sheetFormatPr defaultColWidth="2.5" defaultRowHeight="15.75"/>
  <cols>
    <col min="1" max="16384" width="2.5" style="2"/>
  </cols>
  <sheetData>
    <row r="2" spans="3:3">
      <c r="C2" s="2" t="s">
        <v>368</v>
      </c>
    </row>
  </sheetData>
  <phoneticPr fontId="1"/>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6A0A-ECD0-4D1C-B8F2-BA52B1805623}">
  <dimension ref="B2:B39"/>
  <sheetViews>
    <sheetView topLeftCell="A34" zoomScale="70" zoomScaleNormal="70" workbookViewId="0">
      <selection activeCell="BD52" sqref="BD52"/>
    </sheetView>
  </sheetViews>
  <sheetFormatPr defaultColWidth="3.25" defaultRowHeight="15.75"/>
  <cols>
    <col min="1" max="16384" width="3.25" style="2"/>
  </cols>
  <sheetData>
    <row r="2" spans="2:2">
      <c r="B2" s="2" t="s">
        <v>390</v>
      </c>
    </row>
    <row r="39" spans="2:2">
      <c r="B39" s="2" t="s">
        <v>391</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E12A4-96E1-4DB9-A516-33454F24B177}">
  <dimension ref="A1:H79"/>
  <sheetViews>
    <sheetView topLeftCell="A57" workbookViewId="0">
      <selection activeCell="H29" sqref="H29:H79"/>
    </sheetView>
  </sheetViews>
  <sheetFormatPr defaultRowHeight="18.75"/>
  <cols>
    <col min="1" max="1" width="19.75" bestFit="1" customWidth="1"/>
  </cols>
  <sheetData>
    <row r="1" spans="1:1">
      <c r="A1" s="1" t="s">
        <v>0</v>
      </c>
    </row>
    <row r="2" spans="1:1">
      <c r="A2" s="1" t="s">
        <v>54</v>
      </c>
    </row>
    <row r="3" spans="1:1">
      <c r="A3" s="1" t="s">
        <v>60</v>
      </c>
    </row>
    <row r="4" spans="1:1">
      <c r="A4" s="1" t="s">
        <v>69</v>
      </c>
    </row>
    <row r="5" spans="1:1">
      <c r="A5" s="1" t="s">
        <v>77</v>
      </c>
    </row>
    <row r="6" spans="1:1">
      <c r="A6" s="1" t="s">
        <v>87</v>
      </c>
    </row>
    <row r="7" spans="1:1">
      <c r="A7" s="1" t="s">
        <v>95</v>
      </c>
    </row>
    <row r="8" spans="1:1">
      <c r="A8" s="1" t="s">
        <v>103</v>
      </c>
    </row>
    <row r="9" spans="1:1">
      <c r="A9" s="1" t="s">
        <v>112</v>
      </c>
    </row>
    <row r="10" spans="1:1">
      <c r="A10" s="1" t="s">
        <v>121</v>
      </c>
    </row>
    <row r="11" spans="1:1">
      <c r="A11" s="1" t="s">
        <v>130</v>
      </c>
    </row>
    <row r="12" spans="1:1">
      <c r="A12" s="1" t="s">
        <v>139</v>
      </c>
    </row>
    <row r="13" spans="1:1">
      <c r="A13" s="1" t="s">
        <v>146</v>
      </c>
    </row>
    <row r="14" spans="1:1">
      <c r="A14" s="1" t="s">
        <v>153</v>
      </c>
    </row>
    <row r="15" spans="1:1">
      <c r="A15" s="1" t="s">
        <v>161</v>
      </c>
    </row>
    <row r="16" spans="1:1">
      <c r="A16" s="1" t="s">
        <v>168</v>
      </c>
    </row>
    <row r="17" spans="1:8">
      <c r="A17" s="1" t="s">
        <v>176</v>
      </c>
    </row>
    <row r="18" spans="1:8">
      <c r="A18" s="1" t="s">
        <v>183</v>
      </c>
    </row>
    <row r="19" spans="1:8">
      <c r="A19" s="1" t="s">
        <v>190</v>
      </c>
    </row>
    <row r="20" spans="1:8">
      <c r="A20" s="1" t="s">
        <v>199</v>
      </c>
    </row>
    <row r="21" spans="1:8">
      <c r="A21" s="1" t="s">
        <v>208</v>
      </c>
    </row>
    <row r="22" spans="1:8">
      <c r="A22" s="1" t="s">
        <v>217</v>
      </c>
    </row>
    <row r="23" spans="1:8">
      <c r="A23" s="1" t="s">
        <v>225</v>
      </c>
    </row>
    <row r="24" spans="1:8">
      <c r="A24" s="1" t="s">
        <v>232</v>
      </c>
    </row>
    <row r="25" spans="1:8">
      <c r="A25" s="1" t="s">
        <v>239</v>
      </c>
    </row>
    <row r="26" spans="1:8">
      <c r="A26" s="1" t="s">
        <v>247</v>
      </c>
    </row>
    <row r="28" spans="1:8">
      <c r="A28" s="1"/>
    </row>
    <row r="29" spans="1:8">
      <c r="A29" t="s">
        <v>392</v>
      </c>
      <c r="B29" s="1" t="s">
        <v>447</v>
      </c>
      <c r="C29" s="1" t="s">
        <v>394</v>
      </c>
      <c r="D29" s="1" t="s">
        <v>395</v>
      </c>
      <c r="E29" s="1" t="s">
        <v>396</v>
      </c>
      <c r="F29" t="s">
        <v>1</v>
      </c>
      <c r="G29" t="s">
        <v>497</v>
      </c>
      <c r="H29" t="str">
        <f>C29&amp;D29&amp;E29&amp;F29&amp;G29</f>
        <v xml:space="preserve">    追加されたカスタム = Table.AddColumn(ConvertToTable, "Nコード", each 0),</v>
      </c>
    </row>
    <row r="30" spans="1:8">
      <c r="A30" t="s">
        <v>393</v>
      </c>
      <c r="B30" s="1" t="s">
        <v>447</v>
      </c>
      <c r="C30" s="1" t="s">
        <v>397</v>
      </c>
      <c r="D30" s="1" t="str">
        <f>B30</f>
        <v>追加されたカスタム</v>
      </c>
      <c r="E30" s="1" t="s">
        <v>396</v>
      </c>
      <c r="F30" t="s">
        <v>393</v>
      </c>
      <c r="G30" t="s">
        <v>497</v>
      </c>
      <c r="H30" t="str">
        <f t="shared" ref="H30:H79" si="0">C30&amp;D30&amp;E30&amp;F30&amp;G30</f>
        <v xml:space="preserve">    追加されたカスタム1 = Table.AddColumn(追加されたカスタム, "ラインNo.", each 0),</v>
      </c>
    </row>
    <row r="31" spans="1:8">
      <c r="A31" t="s">
        <v>3</v>
      </c>
      <c r="B31" s="1" t="s">
        <v>462</v>
      </c>
      <c r="C31" s="1" t="s">
        <v>398</v>
      </c>
      <c r="D31" s="1" t="str">
        <f t="shared" ref="D31:D79" si="1">B31</f>
        <v>追加されたカスタム1</v>
      </c>
      <c r="E31" s="1" t="s">
        <v>396</v>
      </c>
      <c r="F31" t="s">
        <v>3</v>
      </c>
      <c r="G31" t="s">
        <v>497</v>
      </c>
      <c r="H31" t="str">
        <f t="shared" si="0"/>
        <v xml:space="preserve">    追加されたカスタム2 = Table.AddColumn(追加されたカスタム1, "0:生産開始/1:定時/2：一時停止/3:生産終了/4:定時終了", each 0),</v>
      </c>
    </row>
    <row r="32" spans="1:8">
      <c r="A32" t="s">
        <v>4</v>
      </c>
      <c r="B32" s="1" t="s">
        <v>448</v>
      </c>
      <c r="C32" s="1" t="s">
        <v>399</v>
      </c>
      <c r="D32" s="1" t="str">
        <f t="shared" si="1"/>
        <v>追加されたカスタム2</v>
      </c>
      <c r="E32" s="1" t="s">
        <v>396</v>
      </c>
      <c r="F32" t="s">
        <v>4</v>
      </c>
      <c r="G32" t="s">
        <v>497</v>
      </c>
      <c r="H32" t="str">
        <f t="shared" si="0"/>
        <v xml:space="preserve">    追加されたカスタム3 = Table.AddColumn(追加されたカスタム2, "T投入数[個]", each 0),</v>
      </c>
    </row>
    <row r="33" spans="1:8">
      <c r="A33" t="s">
        <v>5</v>
      </c>
      <c r="B33" s="1" t="s">
        <v>449</v>
      </c>
      <c r="C33" s="1" t="s">
        <v>400</v>
      </c>
      <c r="D33" s="1" t="str">
        <f t="shared" si="1"/>
        <v>追加されたカスタム3</v>
      </c>
      <c r="E33" s="1" t="s">
        <v>396</v>
      </c>
      <c r="F33" t="s">
        <v>5</v>
      </c>
      <c r="G33" t="s">
        <v>497</v>
      </c>
      <c r="H33" t="str">
        <f t="shared" si="0"/>
        <v xml:space="preserve">    追加されたカスタム4 = Table.AddColumn(追加されたカスタム3, "T生産数[個]", each 0),</v>
      </c>
    </row>
    <row r="34" spans="1:8">
      <c r="A34" t="s">
        <v>6</v>
      </c>
      <c r="B34" s="1" t="s">
        <v>450</v>
      </c>
      <c r="C34" s="1" t="s">
        <v>401</v>
      </c>
      <c r="D34" s="1" t="str">
        <f t="shared" si="1"/>
        <v>追加されたカスタム4</v>
      </c>
      <c r="E34" s="1" t="s">
        <v>396</v>
      </c>
      <c r="F34" t="s">
        <v>6</v>
      </c>
      <c r="G34" t="s">
        <v>497</v>
      </c>
      <c r="H34" t="str">
        <f t="shared" si="0"/>
        <v xml:space="preserve">    追加されたカスタム5 = Table.AddColumn(追加されたカスタム4, "T梱包数[個]", each 0),</v>
      </c>
    </row>
    <row r="35" spans="1:8">
      <c r="A35" t="s">
        <v>7</v>
      </c>
      <c r="B35" s="1" t="s">
        <v>451</v>
      </c>
      <c r="C35" s="1" t="s">
        <v>402</v>
      </c>
      <c r="D35" s="1" t="str">
        <f t="shared" si="1"/>
        <v>追加されたカスタム5</v>
      </c>
      <c r="E35" s="1" t="s">
        <v>396</v>
      </c>
      <c r="F35" t="s">
        <v>7</v>
      </c>
      <c r="G35" t="s">
        <v>497</v>
      </c>
      <c r="H35" t="str">
        <f t="shared" si="0"/>
        <v xml:space="preserve">    追加されたカスタム6 = Table.AddColumn(追加されたカスタム5, "現在計画数[個]", each 0),</v>
      </c>
    </row>
    <row r="36" spans="1:8">
      <c r="A36" t="s">
        <v>8</v>
      </c>
      <c r="B36" s="1" t="s">
        <v>452</v>
      </c>
      <c r="C36" s="1" t="s">
        <v>403</v>
      </c>
      <c r="D36" s="1" t="str">
        <f t="shared" si="1"/>
        <v>追加されたカスタム6</v>
      </c>
      <c r="E36" s="1" t="s">
        <v>396</v>
      </c>
      <c r="F36" t="s">
        <v>8</v>
      </c>
      <c r="G36" t="s">
        <v>497</v>
      </c>
      <c r="H36" t="str">
        <f t="shared" si="0"/>
        <v xml:space="preserve">    追加されたカスタム7 = Table.AddColumn(追加されたカスタム6, "進捗率[%]", each 0),</v>
      </c>
    </row>
    <row r="37" spans="1:8">
      <c r="A37" t="s">
        <v>9</v>
      </c>
      <c r="B37" s="1" t="s">
        <v>453</v>
      </c>
      <c r="C37" s="1" t="s">
        <v>404</v>
      </c>
      <c r="D37" s="1" t="str">
        <f t="shared" si="1"/>
        <v>追加されたカスタム7</v>
      </c>
      <c r="E37" s="1" t="s">
        <v>396</v>
      </c>
      <c r="F37" t="s">
        <v>9</v>
      </c>
      <c r="G37" t="s">
        <v>497</v>
      </c>
      <c r="H37" t="str">
        <f t="shared" si="0"/>
        <v xml:space="preserve">    追加されたカスタム8 = Table.AddColumn(追加されたカスタム7, "T計画数[個]", each 0),</v>
      </c>
    </row>
    <row r="38" spans="1:8">
      <c r="A38" t="s">
        <v>10</v>
      </c>
      <c r="B38" s="1" t="s">
        <v>454</v>
      </c>
      <c r="C38" s="1" t="s">
        <v>405</v>
      </c>
      <c r="D38" s="1" t="str">
        <f t="shared" si="1"/>
        <v>追加されたカスタム8</v>
      </c>
      <c r="E38" s="1" t="s">
        <v>396</v>
      </c>
      <c r="F38" t="s">
        <v>10</v>
      </c>
      <c r="G38" t="s">
        <v>497</v>
      </c>
      <c r="H38" t="str">
        <f t="shared" si="0"/>
        <v xml:space="preserve">    追加されたカスタム9 = Table.AddColumn(追加されたカスタム8, "計画ﾏｼﾝﾀｸﾄ[10ms]", each 0),</v>
      </c>
    </row>
    <row r="39" spans="1:8">
      <c r="A39" t="s">
        <v>11</v>
      </c>
      <c r="B39" s="1" t="s">
        <v>455</v>
      </c>
      <c r="C39" s="1" t="s">
        <v>406</v>
      </c>
      <c r="D39" s="1" t="str">
        <f t="shared" si="1"/>
        <v>追加されたカスタム9</v>
      </c>
      <c r="E39" s="1" t="s">
        <v>396</v>
      </c>
      <c r="F39" t="s">
        <v>11</v>
      </c>
      <c r="G39" t="s">
        <v>497</v>
      </c>
      <c r="H39" t="str">
        <f t="shared" si="0"/>
        <v xml:space="preserve">    追加されたカスタム10 = Table.AddColumn(追加されたカスタム9, "平均ﾀｸﾄ[10ms]", each 0),</v>
      </c>
    </row>
    <row r="40" spans="1:8">
      <c r="A40" t="s">
        <v>12</v>
      </c>
      <c r="B40" s="1" t="s">
        <v>456</v>
      </c>
      <c r="C40" s="1" t="s">
        <v>407</v>
      </c>
      <c r="D40" s="1" t="str">
        <f t="shared" si="1"/>
        <v>追加されたカスタム10</v>
      </c>
      <c r="E40" s="1" t="s">
        <v>396</v>
      </c>
      <c r="F40" t="s">
        <v>12</v>
      </c>
      <c r="G40" t="s">
        <v>497</v>
      </c>
      <c r="H40" t="str">
        <f t="shared" si="0"/>
        <v xml:space="preserve">    追加されたカスタム11 = Table.AddColumn(追加されたカスタム10, "T不良数[個]", each 0),</v>
      </c>
    </row>
    <row r="41" spans="1:8">
      <c r="A41" t="s">
        <v>13</v>
      </c>
      <c r="B41" s="1" t="s">
        <v>457</v>
      </c>
      <c r="C41" s="1" t="s">
        <v>408</v>
      </c>
      <c r="D41" s="1" t="str">
        <f t="shared" si="1"/>
        <v>追加されたカスタム11</v>
      </c>
      <c r="E41" s="1" t="s">
        <v>396</v>
      </c>
      <c r="F41" t="s">
        <v>13</v>
      </c>
      <c r="G41" t="s">
        <v>497</v>
      </c>
      <c r="H41" t="str">
        <f t="shared" si="0"/>
        <v xml:space="preserve">    追加されたカスタム12 = Table.AddColumn(追加されたカスタム11, "T不良率ppm", each 0),</v>
      </c>
    </row>
    <row r="42" spans="1:8">
      <c r="A42" t="s">
        <v>14</v>
      </c>
      <c r="B42" s="1" t="s">
        <v>458</v>
      </c>
      <c r="C42" s="1" t="s">
        <v>409</v>
      </c>
      <c r="D42" s="1" t="str">
        <f t="shared" si="1"/>
        <v>追加されたカスタム12</v>
      </c>
      <c r="E42" s="1" t="s">
        <v>396</v>
      </c>
      <c r="F42" t="s">
        <v>14</v>
      </c>
      <c r="G42" t="s">
        <v>497</v>
      </c>
      <c r="H42" t="str">
        <f t="shared" si="0"/>
        <v xml:space="preserve">    追加されたカスタム13 = Table.AddColumn(追加されたカスタム12, "接点画像　JD0 T不良数", each 0),</v>
      </c>
    </row>
    <row r="43" spans="1:8">
      <c r="A43" t="s">
        <v>15</v>
      </c>
      <c r="B43" s="1" t="s">
        <v>459</v>
      </c>
      <c r="C43" s="1" t="s">
        <v>410</v>
      </c>
      <c r="D43" s="1" t="str">
        <f t="shared" si="1"/>
        <v>追加されたカスタム13</v>
      </c>
      <c r="E43" s="1" t="s">
        <v>396</v>
      </c>
      <c r="F43" t="s">
        <v>15</v>
      </c>
      <c r="G43" t="s">
        <v>497</v>
      </c>
      <c r="H43" t="str">
        <f t="shared" si="0"/>
        <v xml:space="preserve">    追加されたカスタム14 = Table.AddColumn(追加されたカスタム13, "接点画像　JD1 T不良数", each 0),</v>
      </c>
    </row>
    <row r="44" spans="1:8">
      <c r="A44" t="s">
        <v>16</v>
      </c>
      <c r="B44" s="1" t="s">
        <v>460</v>
      </c>
      <c r="C44" s="1" t="s">
        <v>411</v>
      </c>
      <c r="D44" s="1" t="str">
        <f t="shared" si="1"/>
        <v>追加されたカスタム14</v>
      </c>
      <c r="E44" s="1" t="s">
        <v>396</v>
      </c>
      <c r="F44" t="s">
        <v>16</v>
      </c>
      <c r="G44" t="s">
        <v>497</v>
      </c>
      <c r="H44" t="str">
        <f t="shared" si="0"/>
        <v xml:space="preserve">    追加されたカスタム15 = Table.AddColumn(追加されたカスタム14, "接点画像　JD2 T不良数", each 0),</v>
      </c>
    </row>
    <row r="45" spans="1:8">
      <c r="A45" t="s">
        <v>17</v>
      </c>
      <c r="B45" s="1" t="s">
        <v>461</v>
      </c>
      <c r="C45" s="1" t="s">
        <v>412</v>
      </c>
      <c r="D45" s="1" t="str">
        <f t="shared" si="1"/>
        <v>追加されたカスタム15</v>
      </c>
      <c r="E45" s="1" t="s">
        <v>396</v>
      </c>
      <c r="F45" t="s">
        <v>17</v>
      </c>
      <c r="G45" t="s">
        <v>497</v>
      </c>
      <c r="H45" t="str">
        <f t="shared" si="0"/>
        <v xml:space="preserve">    追加されたカスタム16 = Table.AddColumn(追加されたカスタム15, "接点画像　JD3 T不良数", each 0),</v>
      </c>
    </row>
    <row r="46" spans="1:8">
      <c r="A46" t="s">
        <v>18</v>
      </c>
      <c r="B46" s="1" t="s">
        <v>463</v>
      </c>
      <c r="C46" s="1" t="s">
        <v>413</v>
      </c>
      <c r="D46" s="1" t="str">
        <f t="shared" si="1"/>
        <v>追加されたカスタム16</v>
      </c>
      <c r="E46" s="1" t="s">
        <v>396</v>
      </c>
      <c r="F46" t="s">
        <v>18</v>
      </c>
      <c r="G46" t="s">
        <v>497</v>
      </c>
      <c r="H46" t="str">
        <f t="shared" si="0"/>
        <v xml:space="preserve">    追加されたカスタム17 = Table.AddColumn(追加されたカスタム16, "接点画像　JD4 T不良数", each 0),</v>
      </c>
    </row>
    <row r="47" spans="1:8">
      <c r="A47" t="s">
        <v>19</v>
      </c>
      <c r="B47" s="1" t="s">
        <v>464</v>
      </c>
      <c r="C47" s="1" t="s">
        <v>414</v>
      </c>
      <c r="D47" s="1" t="str">
        <f t="shared" si="1"/>
        <v>追加されたカスタム17</v>
      </c>
      <c r="E47" s="1" t="s">
        <v>396</v>
      </c>
      <c r="F47" t="s">
        <v>19</v>
      </c>
      <c r="G47" t="s">
        <v>497</v>
      </c>
      <c r="H47" t="str">
        <f t="shared" si="0"/>
        <v xml:space="preserve">    追加されたカスタム18 = Table.AddColumn(追加されたカスタム17, "接点画像　JD5 T不良数", each 0),</v>
      </c>
    </row>
    <row r="48" spans="1:8">
      <c r="A48" t="s">
        <v>20</v>
      </c>
      <c r="B48" s="1" t="s">
        <v>465</v>
      </c>
      <c r="C48" s="1" t="s">
        <v>415</v>
      </c>
      <c r="D48" s="1" t="str">
        <f t="shared" si="1"/>
        <v>追加されたカスタム18</v>
      </c>
      <c r="E48" s="1" t="s">
        <v>396</v>
      </c>
      <c r="F48" t="s">
        <v>20</v>
      </c>
      <c r="G48" t="s">
        <v>497</v>
      </c>
      <c r="H48" t="str">
        <f t="shared" si="0"/>
        <v xml:space="preserve">    追加されたカスタム19 = Table.AddColumn(追加されたカスタム18, "接点画像　JD6 T不良数", each 0),</v>
      </c>
    </row>
    <row r="49" spans="1:8">
      <c r="A49" t="s">
        <v>21</v>
      </c>
      <c r="B49" s="1" t="s">
        <v>466</v>
      </c>
      <c r="C49" s="1" t="s">
        <v>416</v>
      </c>
      <c r="D49" s="1" t="str">
        <f t="shared" si="1"/>
        <v>追加されたカスタム19</v>
      </c>
      <c r="E49" s="1" t="s">
        <v>396</v>
      </c>
      <c r="F49" t="s">
        <v>21</v>
      </c>
      <c r="G49" t="s">
        <v>497</v>
      </c>
      <c r="H49" t="str">
        <f t="shared" si="0"/>
        <v xml:space="preserve">    追加されたカスタム20 = Table.AddColumn(追加されたカスタム19, "接点画像　JD7 T不良数", each 0),</v>
      </c>
    </row>
    <row r="50" spans="1:8">
      <c r="A50" t="s">
        <v>22</v>
      </c>
      <c r="B50" s="1" t="s">
        <v>467</v>
      </c>
      <c r="C50" s="1" t="s">
        <v>417</v>
      </c>
      <c r="D50" s="1" t="str">
        <f t="shared" si="1"/>
        <v>追加されたカスタム20</v>
      </c>
      <c r="E50" s="1" t="s">
        <v>396</v>
      </c>
      <c r="F50" t="s">
        <v>22</v>
      </c>
      <c r="G50" t="s">
        <v>497</v>
      </c>
      <c r="H50" t="str">
        <f t="shared" si="0"/>
        <v xml:space="preserve">    追加されたカスタム21 = Table.AddColumn(追加されたカスタム20, "接点画像　JD8 T不良数", each 0),</v>
      </c>
    </row>
    <row r="51" spans="1:8">
      <c r="A51" t="s">
        <v>23</v>
      </c>
      <c r="B51" s="1" t="s">
        <v>468</v>
      </c>
      <c r="C51" s="1" t="s">
        <v>418</v>
      </c>
      <c r="D51" s="1" t="str">
        <f t="shared" si="1"/>
        <v>追加されたカスタム21</v>
      </c>
      <c r="E51" s="1" t="s">
        <v>396</v>
      </c>
      <c r="F51" t="s">
        <v>23</v>
      </c>
      <c r="G51" t="s">
        <v>497</v>
      </c>
      <c r="H51" t="str">
        <f t="shared" si="0"/>
        <v xml:space="preserve">    追加されたカスタム22 = Table.AddColumn(追加されたカスタム21, "接点画像　JD9 T不良数", each 0),</v>
      </c>
    </row>
    <row r="52" spans="1:8">
      <c r="A52" t="s">
        <v>24</v>
      </c>
      <c r="B52" s="1" t="s">
        <v>469</v>
      </c>
      <c r="C52" s="1" t="s">
        <v>419</v>
      </c>
      <c r="D52" s="1" t="str">
        <f t="shared" si="1"/>
        <v>追加されたカスタム22</v>
      </c>
      <c r="E52" s="1" t="s">
        <v>396</v>
      </c>
      <c r="F52" t="s">
        <v>24</v>
      </c>
      <c r="G52" t="s">
        <v>497</v>
      </c>
      <c r="H52" t="str">
        <f t="shared" si="0"/>
        <v xml:space="preserve">    追加されたカスタム23 = Table.AddColumn(追加されたカスタム22, "接点画像　JD10 T不良数", each 0),</v>
      </c>
    </row>
    <row r="53" spans="1:8">
      <c r="A53" t="s">
        <v>25</v>
      </c>
      <c r="B53" s="1" t="s">
        <v>470</v>
      </c>
      <c r="C53" s="1" t="s">
        <v>420</v>
      </c>
      <c r="D53" s="1" t="str">
        <f t="shared" si="1"/>
        <v>追加されたカスタム23</v>
      </c>
      <c r="E53" s="1" t="s">
        <v>396</v>
      </c>
      <c r="F53" t="s">
        <v>25</v>
      </c>
      <c r="G53" t="s">
        <v>497</v>
      </c>
      <c r="H53" t="str">
        <f t="shared" si="0"/>
        <v xml:space="preserve">    追加されたカスタム24 = Table.AddColumn(追加されたカスタム23, "接点画像　JD11 T不良数", each 0),</v>
      </c>
    </row>
    <row r="54" spans="1:8">
      <c r="A54" t="s">
        <v>26</v>
      </c>
      <c r="B54" s="1" t="s">
        <v>471</v>
      </c>
      <c r="C54" s="1" t="s">
        <v>421</v>
      </c>
      <c r="D54" s="1" t="str">
        <f t="shared" si="1"/>
        <v>追加されたカスタム24</v>
      </c>
      <c r="E54" s="1" t="s">
        <v>396</v>
      </c>
      <c r="F54" t="s">
        <v>26</v>
      </c>
      <c r="G54" t="s">
        <v>497</v>
      </c>
      <c r="H54" t="str">
        <f t="shared" si="0"/>
        <v xml:space="preserve">    追加されたカスタム25 = Table.AddColumn(追加されたカスタム24, "接点画像　JD12 T不良数", each 0),</v>
      </c>
    </row>
    <row r="55" spans="1:8">
      <c r="A55" t="s">
        <v>27</v>
      </c>
      <c r="B55" s="1" t="s">
        <v>472</v>
      </c>
      <c r="C55" s="1" t="s">
        <v>422</v>
      </c>
      <c r="D55" s="1" t="str">
        <f t="shared" si="1"/>
        <v>追加されたカスタム25</v>
      </c>
      <c r="E55" s="1" t="s">
        <v>396</v>
      </c>
      <c r="F55" t="s">
        <v>27</v>
      </c>
      <c r="G55" t="s">
        <v>497</v>
      </c>
      <c r="H55" t="str">
        <f t="shared" si="0"/>
        <v xml:space="preserve">    追加されたカスタム26 = Table.AddColumn(追加されたカスタム25, "接点画像　JD13 T不良数", each 0),</v>
      </c>
    </row>
    <row r="56" spans="1:8">
      <c r="A56" t="s">
        <v>28</v>
      </c>
      <c r="B56" s="1" t="s">
        <v>473</v>
      </c>
      <c r="C56" s="1" t="s">
        <v>423</v>
      </c>
      <c r="D56" s="1" t="str">
        <f t="shared" si="1"/>
        <v>追加されたカスタム26</v>
      </c>
      <c r="E56" s="1" t="s">
        <v>396</v>
      </c>
      <c r="F56" t="s">
        <v>28</v>
      </c>
      <c r="G56" t="s">
        <v>497</v>
      </c>
      <c r="H56" t="str">
        <f t="shared" si="0"/>
        <v xml:space="preserve">    追加されたカスタム27 = Table.AddColumn(追加されたカスタム26, "接点画像　JD14 T不良数", each 0),</v>
      </c>
    </row>
    <row r="57" spans="1:8">
      <c r="A57" t="s">
        <v>29</v>
      </c>
      <c r="B57" s="1" t="s">
        <v>474</v>
      </c>
      <c r="C57" s="1" t="s">
        <v>424</v>
      </c>
      <c r="D57" s="1" t="str">
        <f t="shared" si="1"/>
        <v>追加されたカスタム27</v>
      </c>
      <c r="E57" s="1" t="s">
        <v>396</v>
      </c>
      <c r="F57" t="s">
        <v>29</v>
      </c>
      <c r="G57" t="s">
        <v>497</v>
      </c>
      <c r="H57" t="str">
        <f t="shared" si="0"/>
        <v xml:space="preserve">    追加されたカスタム28 = Table.AddColumn(追加されたカスタム27, "接点画像　JD15 T不良数", each 0),</v>
      </c>
    </row>
    <row r="58" spans="1:8">
      <c r="A58" t="s">
        <v>30</v>
      </c>
      <c r="B58" s="1" t="s">
        <v>475</v>
      </c>
      <c r="C58" s="1" t="s">
        <v>425</v>
      </c>
      <c r="D58" s="1" t="str">
        <f t="shared" si="1"/>
        <v>追加されたカスタム28</v>
      </c>
      <c r="E58" s="1" t="s">
        <v>396</v>
      </c>
      <c r="F58" t="s">
        <v>30</v>
      </c>
      <c r="G58" t="s">
        <v>497</v>
      </c>
      <c r="H58" t="str">
        <f t="shared" si="0"/>
        <v xml:space="preserve">    追加されたカスタム29 = Table.AddColumn(追加されたカスタム28, "短絡検査　耐圧T不良数", each 0),</v>
      </c>
    </row>
    <row r="59" spans="1:8">
      <c r="A59" t="s">
        <v>31</v>
      </c>
      <c r="B59" s="1" t="s">
        <v>476</v>
      </c>
      <c r="C59" s="1" t="s">
        <v>426</v>
      </c>
      <c r="D59" s="1" t="str">
        <f t="shared" si="1"/>
        <v>追加されたカスタム29</v>
      </c>
      <c r="E59" s="1" t="s">
        <v>396</v>
      </c>
      <c r="F59" t="s">
        <v>31</v>
      </c>
      <c r="G59" t="s">
        <v>497</v>
      </c>
      <c r="H59" t="str">
        <f t="shared" si="0"/>
        <v xml:space="preserve">    追加されたカスタム30 = Table.AddColumn(追加されたカスタム29, "短絡検査　導通T不良数", each 0),</v>
      </c>
    </row>
    <row r="60" spans="1:8">
      <c r="A60" t="s">
        <v>32</v>
      </c>
      <c r="B60" s="1" t="s">
        <v>477</v>
      </c>
      <c r="C60" s="1" t="s">
        <v>427</v>
      </c>
      <c r="D60" s="1" t="str">
        <f t="shared" si="1"/>
        <v>追加されたカスタム30</v>
      </c>
      <c r="E60" s="1" t="s">
        <v>396</v>
      </c>
      <c r="F60" t="s">
        <v>32</v>
      </c>
      <c r="G60" t="s">
        <v>497</v>
      </c>
      <c r="H60" t="str">
        <f t="shared" si="0"/>
        <v xml:space="preserve">    追加されたカスタム31 = Table.AddColumn(追加されたカスタム30, "SMT画像　JD0 T不良数", each 0),</v>
      </c>
    </row>
    <row r="61" spans="1:8">
      <c r="A61" t="s">
        <v>33</v>
      </c>
      <c r="B61" s="1" t="s">
        <v>478</v>
      </c>
      <c r="C61" s="1" t="s">
        <v>428</v>
      </c>
      <c r="D61" s="1" t="str">
        <f t="shared" si="1"/>
        <v>追加されたカスタム31</v>
      </c>
      <c r="E61" s="1" t="s">
        <v>396</v>
      </c>
      <c r="F61" t="s">
        <v>33</v>
      </c>
      <c r="G61" t="s">
        <v>497</v>
      </c>
      <c r="H61" t="str">
        <f t="shared" si="0"/>
        <v xml:space="preserve">    追加されたカスタム32 = Table.AddColumn(追加されたカスタム31, "SMT画像　JD1 T不良数", each 0),</v>
      </c>
    </row>
    <row r="62" spans="1:8">
      <c r="A62" t="s">
        <v>34</v>
      </c>
      <c r="B62" s="1" t="s">
        <v>479</v>
      </c>
      <c r="C62" s="1" t="s">
        <v>429</v>
      </c>
      <c r="D62" s="1" t="str">
        <f t="shared" si="1"/>
        <v>追加されたカスタム32</v>
      </c>
      <c r="E62" s="1" t="s">
        <v>396</v>
      </c>
      <c r="F62" t="s">
        <v>34</v>
      </c>
      <c r="G62" t="s">
        <v>497</v>
      </c>
      <c r="H62" t="str">
        <f t="shared" si="0"/>
        <v xml:space="preserve">    追加されたカスタム33 = Table.AddColumn(追加されたカスタム32, "SMT画像　JD2 T不良数", each 0),</v>
      </c>
    </row>
    <row r="63" spans="1:8">
      <c r="A63" t="s">
        <v>35</v>
      </c>
      <c r="B63" s="1" t="s">
        <v>480</v>
      </c>
      <c r="C63" s="1" t="s">
        <v>430</v>
      </c>
      <c r="D63" s="1" t="str">
        <f t="shared" si="1"/>
        <v>追加されたカスタム33</v>
      </c>
      <c r="E63" s="1" t="s">
        <v>396</v>
      </c>
      <c r="F63" t="s">
        <v>35</v>
      </c>
      <c r="G63" t="s">
        <v>497</v>
      </c>
      <c r="H63" t="str">
        <f t="shared" si="0"/>
        <v xml:space="preserve">    追加されたカスタム34 = Table.AddColumn(追加されたカスタム33, "SMT画像　JD3 T不良数", each 0),</v>
      </c>
    </row>
    <row r="64" spans="1:8">
      <c r="A64" t="s">
        <v>36</v>
      </c>
      <c r="B64" s="1" t="s">
        <v>481</v>
      </c>
      <c r="C64" s="1" t="s">
        <v>431</v>
      </c>
      <c r="D64" s="1" t="str">
        <f t="shared" si="1"/>
        <v>追加されたカスタム34</v>
      </c>
      <c r="E64" s="1" t="s">
        <v>396</v>
      </c>
      <c r="F64" t="s">
        <v>36</v>
      </c>
      <c r="G64" t="s">
        <v>497</v>
      </c>
      <c r="H64" t="str">
        <f t="shared" si="0"/>
        <v xml:space="preserve">    追加されたカスタム35 = Table.AddColumn(追加されたカスタム34, "SMT画像　JD4 T不良数", each 0),</v>
      </c>
    </row>
    <row r="65" spans="1:8">
      <c r="A65" t="s">
        <v>37</v>
      </c>
      <c r="B65" s="1" t="s">
        <v>482</v>
      </c>
      <c r="C65" s="1" t="s">
        <v>432</v>
      </c>
      <c r="D65" s="1" t="str">
        <f t="shared" si="1"/>
        <v>追加されたカスタム35</v>
      </c>
      <c r="E65" s="1" t="s">
        <v>396</v>
      </c>
      <c r="F65" t="s">
        <v>37</v>
      </c>
      <c r="G65" t="s">
        <v>497</v>
      </c>
      <c r="H65" t="str">
        <f t="shared" si="0"/>
        <v xml:space="preserve">    追加されたカスタム36 = Table.AddColumn(追加されたカスタム35, "SMT画像　JD5 T不良数", each 0),</v>
      </c>
    </row>
    <row r="66" spans="1:8">
      <c r="A66" t="s">
        <v>38</v>
      </c>
      <c r="B66" s="1" t="s">
        <v>483</v>
      </c>
      <c r="C66" s="1" t="s">
        <v>433</v>
      </c>
      <c r="D66" s="1" t="str">
        <f t="shared" si="1"/>
        <v>追加されたカスタム36</v>
      </c>
      <c r="E66" s="1" t="s">
        <v>396</v>
      </c>
      <c r="F66" t="s">
        <v>38</v>
      </c>
      <c r="G66" t="s">
        <v>497</v>
      </c>
      <c r="H66" t="str">
        <f t="shared" si="0"/>
        <v xml:space="preserve">    追加されたカスタム37 = Table.AddColumn(追加されたカスタム36, "SMT画像　JD6 T不良数", each 0),</v>
      </c>
    </row>
    <row r="67" spans="1:8">
      <c r="A67" t="s">
        <v>39</v>
      </c>
      <c r="B67" s="1" t="s">
        <v>484</v>
      </c>
      <c r="C67" s="1" t="s">
        <v>434</v>
      </c>
      <c r="D67" s="1" t="str">
        <f t="shared" si="1"/>
        <v>追加されたカスタム37</v>
      </c>
      <c r="E67" s="1" t="s">
        <v>396</v>
      </c>
      <c r="F67" t="s">
        <v>39</v>
      </c>
      <c r="G67" t="s">
        <v>497</v>
      </c>
      <c r="H67" t="str">
        <f t="shared" si="0"/>
        <v xml:space="preserve">    追加されたカスタム38 = Table.AddColumn(追加されたカスタム37, "SMT画像　JD7 T不良数", each 0),</v>
      </c>
    </row>
    <row r="68" spans="1:8">
      <c r="A68" t="s">
        <v>40</v>
      </c>
      <c r="B68" s="1" t="s">
        <v>485</v>
      </c>
      <c r="C68" s="1" t="s">
        <v>435</v>
      </c>
      <c r="D68" s="1" t="str">
        <f t="shared" si="1"/>
        <v>追加されたカスタム38</v>
      </c>
      <c r="E68" s="1" t="s">
        <v>396</v>
      </c>
      <c r="F68" t="s">
        <v>40</v>
      </c>
      <c r="G68" t="s">
        <v>497</v>
      </c>
      <c r="H68" t="str">
        <f t="shared" si="0"/>
        <v xml:space="preserve">    追加されたカスタム39 = Table.AddColumn(追加されたカスタム38, "SMT画像　JD8 T不良数", each 0),</v>
      </c>
    </row>
    <row r="69" spans="1:8">
      <c r="A69" t="s">
        <v>41</v>
      </c>
      <c r="B69" s="1" t="s">
        <v>486</v>
      </c>
      <c r="C69" s="1" t="s">
        <v>436</v>
      </c>
      <c r="D69" s="1" t="str">
        <f t="shared" si="1"/>
        <v>追加されたカスタム39</v>
      </c>
      <c r="E69" s="1" t="s">
        <v>396</v>
      </c>
      <c r="F69" t="s">
        <v>41</v>
      </c>
      <c r="G69" t="s">
        <v>497</v>
      </c>
      <c r="H69" t="str">
        <f t="shared" si="0"/>
        <v xml:space="preserve">    追加されたカスタム40 = Table.AddColumn(追加されたカスタム39, "SMT画像　JD9 T不良数", each 0),</v>
      </c>
    </row>
    <row r="70" spans="1:8">
      <c r="A70" t="s">
        <v>42</v>
      </c>
      <c r="B70" s="1" t="s">
        <v>487</v>
      </c>
      <c r="C70" s="1" t="s">
        <v>437</v>
      </c>
      <c r="D70" s="1" t="str">
        <f t="shared" si="1"/>
        <v>追加されたカスタム40</v>
      </c>
      <c r="E70" s="1" t="s">
        <v>396</v>
      </c>
      <c r="F70" t="s">
        <v>42</v>
      </c>
      <c r="G70" t="s">
        <v>497</v>
      </c>
      <c r="H70" t="str">
        <f t="shared" si="0"/>
        <v xml:space="preserve">    追加されたカスタム41 = Table.AddColumn(追加されたカスタム40, "SMT画像　JD10 T不良数", each 0),</v>
      </c>
    </row>
    <row r="71" spans="1:8">
      <c r="A71" t="s">
        <v>43</v>
      </c>
      <c r="B71" s="1" t="s">
        <v>488</v>
      </c>
      <c r="C71" s="1" t="s">
        <v>438</v>
      </c>
      <c r="D71" s="1" t="str">
        <f t="shared" si="1"/>
        <v>追加されたカスタム41</v>
      </c>
      <c r="E71" s="1" t="s">
        <v>396</v>
      </c>
      <c r="F71" t="s">
        <v>43</v>
      </c>
      <c r="G71" t="s">
        <v>497</v>
      </c>
      <c r="H71" t="str">
        <f t="shared" si="0"/>
        <v xml:space="preserve">    追加されたカスタム42 = Table.AddColumn(追加されたカスタム41, "SMT画像　JD11 T不良数", each 0),</v>
      </c>
    </row>
    <row r="72" spans="1:8">
      <c r="A72" t="s">
        <v>44</v>
      </c>
      <c r="B72" s="1" t="s">
        <v>489</v>
      </c>
      <c r="C72" s="1" t="s">
        <v>439</v>
      </c>
      <c r="D72" s="1" t="str">
        <f t="shared" si="1"/>
        <v>追加されたカスタム42</v>
      </c>
      <c r="E72" s="1" t="s">
        <v>396</v>
      </c>
      <c r="F72" t="s">
        <v>44</v>
      </c>
      <c r="G72" t="s">
        <v>497</v>
      </c>
      <c r="H72" t="str">
        <f t="shared" si="0"/>
        <v xml:space="preserve">    追加されたカスタム43 = Table.AddColumn(追加されたカスタム42, "SMT画像　JD12 T不良数", each 0),</v>
      </c>
    </row>
    <row r="73" spans="1:8">
      <c r="A73" t="s">
        <v>45</v>
      </c>
      <c r="B73" s="1" t="s">
        <v>490</v>
      </c>
      <c r="C73" s="1" t="s">
        <v>440</v>
      </c>
      <c r="D73" s="1" t="str">
        <f t="shared" si="1"/>
        <v>追加されたカスタム43</v>
      </c>
      <c r="E73" s="1" t="s">
        <v>396</v>
      </c>
      <c r="F73" t="s">
        <v>45</v>
      </c>
      <c r="G73" t="s">
        <v>497</v>
      </c>
      <c r="H73" t="str">
        <f t="shared" si="0"/>
        <v xml:space="preserve">    追加されたカスタム44 = Table.AddColumn(追加されたカスタム43, "SMT画像　JD13 T不良数", each 0),</v>
      </c>
    </row>
    <row r="74" spans="1:8">
      <c r="A74" t="s">
        <v>46</v>
      </c>
      <c r="B74" s="1" t="s">
        <v>491</v>
      </c>
      <c r="C74" s="1" t="s">
        <v>441</v>
      </c>
      <c r="D74" s="1" t="str">
        <f t="shared" si="1"/>
        <v>追加されたカスタム44</v>
      </c>
      <c r="E74" s="1" t="s">
        <v>396</v>
      </c>
      <c r="F74" t="s">
        <v>46</v>
      </c>
      <c r="G74" t="s">
        <v>497</v>
      </c>
      <c r="H74" t="str">
        <f t="shared" si="0"/>
        <v xml:space="preserve">    追加されたカスタム45 = Table.AddColumn(追加されたカスタム44, "SMT画像　JD14 T不良数", each 0),</v>
      </c>
    </row>
    <row r="75" spans="1:8">
      <c r="A75" t="s">
        <v>47</v>
      </c>
      <c r="B75" s="1" t="s">
        <v>492</v>
      </c>
      <c r="C75" s="1" t="s">
        <v>442</v>
      </c>
      <c r="D75" s="1" t="str">
        <f t="shared" si="1"/>
        <v>追加されたカスタム45</v>
      </c>
      <c r="E75" s="1" t="s">
        <v>396</v>
      </c>
      <c r="F75" t="s">
        <v>47</v>
      </c>
      <c r="G75" t="s">
        <v>497</v>
      </c>
      <c r="H75" t="str">
        <f t="shared" si="0"/>
        <v xml:space="preserve">    追加されたカスタム46 = Table.AddColumn(追加されたカスタム45, "SMT画像　JD15 T不良数", each 0),</v>
      </c>
    </row>
    <row r="76" spans="1:8">
      <c r="A76" t="s">
        <v>48</v>
      </c>
      <c r="B76" s="1" t="s">
        <v>493</v>
      </c>
      <c r="C76" s="1" t="s">
        <v>443</v>
      </c>
      <c r="D76" s="1" t="str">
        <f t="shared" si="1"/>
        <v>追加されたカスタム46</v>
      </c>
      <c r="E76" s="1" t="s">
        <v>396</v>
      </c>
      <c r="F76" t="s">
        <v>48</v>
      </c>
      <c r="G76" t="s">
        <v>497</v>
      </c>
      <c r="H76" t="str">
        <f t="shared" si="0"/>
        <v xml:space="preserve">    追加されたカスタム47 = Table.AddColumn(追加されたカスタム46, "端子A欠品T不良数", each 0),</v>
      </c>
    </row>
    <row r="77" spans="1:8">
      <c r="A77" t="s">
        <v>49</v>
      </c>
      <c r="B77" s="1" t="s">
        <v>494</v>
      </c>
      <c r="C77" s="1" t="s">
        <v>444</v>
      </c>
      <c r="D77" s="1" t="str">
        <f t="shared" si="1"/>
        <v>追加されたカスタム47</v>
      </c>
      <c r="E77" s="1" t="s">
        <v>396</v>
      </c>
      <c r="F77" t="s">
        <v>49</v>
      </c>
      <c r="G77" t="s">
        <v>497</v>
      </c>
      <c r="H77" t="str">
        <f t="shared" si="0"/>
        <v xml:space="preserve">    追加されたカスタム48 = Table.AddColumn(追加されたカスタム47, "端子B欠品T不良数", each 0),</v>
      </c>
    </row>
    <row r="78" spans="1:8">
      <c r="A78" t="s">
        <v>50</v>
      </c>
      <c r="B78" s="1" t="s">
        <v>495</v>
      </c>
      <c r="C78" s="1" t="s">
        <v>445</v>
      </c>
      <c r="D78" s="1" t="str">
        <f t="shared" si="1"/>
        <v>追加されたカスタム48</v>
      </c>
      <c r="E78" s="1" t="s">
        <v>396</v>
      </c>
      <c r="F78" t="s">
        <v>50</v>
      </c>
      <c r="G78" t="s">
        <v>497</v>
      </c>
      <c r="H78" t="str">
        <f t="shared" si="0"/>
        <v xml:space="preserve">    追加されたカスタム49 = Table.AddColumn(追加されたカスタム48, "可動片欠品T不良数", each 0),</v>
      </c>
    </row>
    <row r="79" spans="1:8">
      <c r="A79" t="s">
        <v>51</v>
      </c>
      <c r="B79" s="1" t="s">
        <v>496</v>
      </c>
      <c r="C79" s="1" t="s">
        <v>446</v>
      </c>
      <c r="D79" s="1" t="str">
        <f t="shared" si="1"/>
        <v>追加されたカスタム49</v>
      </c>
      <c r="E79" s="1" t="s">
        <v>396</v>
      </c>
      <c r="F79" t="s">
        <v>51</v>
      </c>
      <c r="G79" t="s">
        <v>497</v>
      </c>
      <c r="H79" t="str">
        <f t="shared" si="0"/>
        <v xml:space="preserve">    追加されたカスタム50 = Table.AddColumn(追加されたカスタム49, "梱包画像　T不良数", each 0),</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A4C52A01CEBFF40AE45D10DA927A547" ma:contentTypeVersion="11" ma:contentTypeDescription="新しいドキュメントを作成します。" ma:contentTypeScope="" ma:versionID="28d47f0a2ac0a03d0a141d0a7f638e0b">
  <xsd:schema xmlns:xsd="http://www.w3.org/2001/XMLSchema" xmlns:xs="http://www.w3.org/2001/XMLSchema" xmlns:p="http://schemas.microsoft.com/office/2006/metadata/properties" xmlns:ns2="b5c37a85-733b-43ca-bcfb-a65fb0b4108a" xmlns:ns3="c8b0e60a-39fc-4745-abaa-4e95a5ee6b11" targetNamespace="http://schemas.microsoft.com/office/2006/metadata/properties" ma:root="true" ma:fieldsID="4140b07b92875aa8fe6d384889a2cf43" ns2:_="" ns3:_="">
    <xsd:import namespace="b5c37a85-733b-43ca-bcfb-a65fb0b4108a"/>
    <xsd:import namespace="c8b0e60a-39fc-4745-abaa-4e95a5ee6b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c37a85-733b-43ca-bcfb-a65fb0b410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1df4d3c-c4e6-4899-bdf0-e43e9c10e67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8b0e60a-39fc-4745-abaa-4e95a5ee6b1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f552ab2-b0c2-4fb4-8523-feac73e70c20}" ma:internalName="TaxCatchAll" ma:showField="CatchAllData" ma:web="c8b0e60a-39fc-4745-abaa-4e95a5ee6b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c37a85-733b-43ca-bcfb-a65fb0b4108a">
      <Terms xmlns="http://schemas.microsoft.com/office/infopath/2007/PartnerControls"/>
    </lcf76f155ced4ddcb4097134ff3c332f>
    <TaxCatchAll xmlns="c8b0e60a-39fc-4745-abaa-4e95a5ee6b11" xsi:nil="true"/>
  </documentManagement>
</p:properties>
</file>

<file path=customXml/itemProps1.xml><?xml version="1.0" encoding="utf-8"?>
<ds:datastoreItem xmlns:ds="http://schemas.openxmlformats.org/officeDocument/2006/customXml" ds:itemID="{8D7D9190-3AB3-46D2-A359-72FB14A58179}"/>
</file>

<file path=customXml/itemProps2.xml><?xml version="1.0" encoding="utf-8"?>
<ds:datastoreItem xmlns:ds="http://schemas.openxmlformats.org/officeDocument/2006/customXml" ds:itemID="{F9C8EC76-8375-4E7B-B00E-61B4C74FF241}"/>
</file>

<file path=customXml/itemProps3.xml><?xml version="1.0" encoding="utf-8"?>
<ds:datastoreItem xmlns:ds="http://schemas.openxmlformats.org/officeDocument/2006/customXml" ds:itemID="{E75F1088-42E7-4D2C-B854-8E80718FDF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概要</vt:lpstr>
      <vt:lpstr>概要20230721仕様変更</vt:lpstr>
      <vt:lpstr>概要old</vt:lpstr>
      <vt:lpstr>Prod_log</vt:lpstr>
      <vt:lpstr>Stop_log</vt:lpstr>
      <vt:lpstr>調査</vt:lpstr>
      <vt:lpstr>凡例</vt:lpstr>
      <vt:lpstr>Sheet3</vt:lpstr>
      <vt:lpstr>Prod_log当日24H対応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田中登仁</dc:creator>
  <cp:lastModifiedBy>田中登仁</cp:lastModifiedBy>
  <dcterms:created xsi:type="dcterms:W3CDTF">2015-06-05T18:19:34Z</dcterms:created>
  <dcterms:modified xsi:type="dcterms:W3CDTF">2023-08-27T06:06:36Z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0x0101006A4C52A01CEBFF40AE45D10DA927A547</vt:lpwstr>
  </property>
</Properties>
</file>