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044476f1f1e8ffe5/PJ/202501_ヒロセ電機様/060_構成管理/02_設計書/拠点用/"/>
    </mc:Choice>
  </mc:AlternateContent>
  <xr:revisionPtr revIDLastSave="1234" documentId="13_ncr:1_{5F43FC22-8DF3-40F8-A370-ADE5A563D385}" xr6:coauthVersionLast="47" xr6:coauthVersionMax="47" xr10:uidLastSave="{8B8A1490-29B2-40F1-9EC2-020A788853CD}"/>
  <bookViews>
    <workbookView minimized="1" xWindow="3615" yWindow="3615" windowWidth="16200" windowHeight="9307" tabRatio="832" activeTab="3" xr2:uid="{00000000-000D-0000-FFFF-FFFF00000000}"/>
  </bookViews>
  <sheets>
    <sheet name="説明" sheetId="16" r:id="rId1"/>
    <sheet name="全体概要" sheetId="11" r:id="rId2"/>
    <sheet name="TB一覧" sheetId="13" r:id="rId3"/>
    <sheet name="TB定義" sheetId="1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" i="14" l="1"/>
  <c r="C2" i="14"/>
  <c r="B2" i="14"/>
  <c r="A16" i="14" l="1"/>
  <c r="A34" i="14" s="1"/>
  <c r="A51" i="14" s="1"/>
  <c r="C51" i="14" s="1"/>
  <c r="B10" i="14"/>
  <c r="C10" i="14"/>
  <c r="C34" i="14" l="1"/>
  <c r="B34" i="14"/>
  <c r="C16" i="14"/>
  <c r="B16" i="14"/>
  <c r="B51" i="14"/>
</calcChain>
</file>

<file path=xl/sharedStrings.xml><?xml version="1.0" encoding="utf-8"?>
<sst xmlns="http://schemas.openxmlformats.org/spreadsheetml/2006/main" count="483" uniqueCount="195">
  <si>
    <t>Nコード</t>
  </si>
  <si>
    <t>T生産数[個]</t>
  </si>
  <si>
    <t>T梱包数[個]</t>
  </si>
  <si>
    <t>現在計画数[個]</t>
  </si>
  <si>
    <t>進捗率[%]</t>
  </si>
  <si>
    <t>T計画数[個]</t>
  </si>
  <si>
    <t>計画ﾏｼﾝﾀｸﾄ[10ms]</t>
  </si>
  <si>
    <t>平均ﾀｸﾄ[10ms]</t>
  </si>
  <si>
    <t>T不良数[個]</t>
  </si>
  <si>
    <t>T不良率ppm</t>
  </si>
  <si>
    <t>全体概要</t>
    <rPh sb="0" eb="2">
      <t>ゼンタイ</t>
    </rPh>
    <rPh sb="2" eb="4">
      <t>ガイヨウ</t>
    </rPh>
    <phoneticPr fontId="2"/>
  </si>
  <si>
    <t>◆全体概要図</t>
    <rPh sb="1" eb="5">
      <t>ゼンタイガイヨウ</t>
    </rPh>
    <rPh sb="5" eb="6">
      <t>ズ</t>
    </rPh>
    <phoneticPr fontId="2"/>
  </si>
  <si>
    <t>PowerQuery</t>
    <phoneticPr fontId="2"/>
  </si>
  <si>
    <t>◆リレーション</t>
    <phoneticPr fontId="2"/>
  </si>
  <si>
    <t>No</t>
    <phoneticPr fontId="2"/>
  </si>
  <si>
    <t>画面名称</t>
    <rPh sb="0" eb="2">
      <t>ガメン</t>
    </rPh>
    <rPh sb="2" eb="4">
      <t>メイショウ</t>
    </rPh>
    <phoneticPr fontId="2"/>
  </si>
  <si>
    <t>TB一覧</t>
    <rPh sb="2" eb="4">
      <t>イチラン</t>
    </rPh>
    <phoneticPr fontId="2"/>
  </si>
  <si>
    <t>TB名</t>
    <rPh sb="2" eb="3">
      <t>メイ</t>
    </rPh>
    <phoneticPr fontId="2"/>
  </si>
  <si>
    <t>備考</t>
    <rPh sb="0" eb="2">
      <t>ビコウ</t>
    </rPh>
    <phoneticPr fontId="2"/>
  </si>
  <si>
    <t>M01</t>
    <phoneticPr fontId="2"/>
  </si>
  <si>
    <t>mst_ライン一覧</t>
    <rPh sb="7" eb="9">
      <t>イチラン</t>
    </rPh>
    <phoneticPr fontId="2"/>
  </si>
  <si>
    <t>設備PFマスタ</t>
    <rPh sb="0" eb="2">
      <t>セツビ</t>
    </rPh>
    <phoneticPr fontId="2"/>
  </si>
  <si>
    <t>M02</t>
  </si>
  <si>
    <t>mst_停止要因</t>
    <rPh sb="4" eb="6">
      <t>テイシ</t>
    </rPh>
    <rPh sb="6" eb="8">
      <t>ヨウイン</t>
    </rPh>
    <phoneticPr fontId="2"/>
  </si>
  <si>
    <t>停止要因マスタ</t>
    <rPh sb="0" eb="4">
      <t>テイシヨウイン</t>
    </rPh>
    <phoneticPr fontId="2"/>
  </si>
  <si>
    <t>T01</t>
    <phoneticPr fontId="2"/>
  </si>
  <si>
    <t>STOP_LOG</t>
  </si>
  <si>
    <t>STOP_LOGを取り込み、必要カラムを追加したTB</t>
    <rPh sb="9" eb="10">
      <t>ト</t>
    </rPh>
    <rPh sb="11" eb="12">
      <t>コ</t>
    </rPh>
    <rPh sb="14" eb="16">
      <t>ヒツヨウ</t>
    </rPh>
    <rPh sb="20" eb="22">
      <t>ツイカ</t>
    </rPh>
    <phoneticPr fontId="2"/>
  </si>
  <si>
    <t>T02</t>
    <phoneticPr fontId="2"/>
  </si>
  <si>
    <t>PROD_LOG</t>
  </si>
  <si>
    <t>PROD_LOGを取り込み、必要カラムを追加したTB</t>
    <rPh sb="9" eb="10">
      <t>ト</t>
    </rPh>
    <rPh sb="11" eb="12">
      <t>コ</t>
    </rPh>
    <rPh sb="14" eb="16">
      <t>ヒツヨウ</t>
    </rPh>
    <rPh sb="20" eb="22">
      <t>ツイカ</t>
    </rPh>
    <phoneticPr fontId="2"/>
  </si>
  <si>
    <t>TB定義</t>
    <rPh sb="2" eb="4">
      <t>テイギ</t>
    </rPh>
    <phoneticPr fontId="2"/>
  </si>
  <si>
    <t>作成TB</t>
    <rPh sb="0" eb="2">
      <t>サクセイ</t>
    </rPh>
    <phoneticPr fontId="2"/>
  </si>
  <si>
    <t>ソース</t>
    <phoneticPr fontId="2"/>
  </si>
  <si>
    <t>作成箇所</t>
    <rPh sb="0" eb="2">
      <t>サクセイ</t>
    </rPh>
    <rPh sb="2" eb="4">
      <t>カショ</t>
    </rPh>
    <phoneticPr fontId="2"/>
  </si>
  <si>
    <t>項目名</t>
    <rPh sb="0" eb="3">
      <t>コウモクメイ</t>
    </rPh>
    <phoneticPr fontId="2"/>
  </si>
  <si>
    <t>ソース名</t>
    <rPh sb="3" eb="4">
      <t>メイ</t>
    </rPh>
    <phoneticPr fontId="2"/>
  </si>
  <si>
    <t>計算式</t>
    <rPh sb="0" eb="3">
      <t>ケイサンシキ</t>
    </rPh>
    <phoneticPr fontId="2"/>
  </si>
  <si>
    <t>PQ</t>
    <phoneticPr fontId="2"/>
  </si>
  <si>
    <t>Location</t>
    <phoneticPr fontId="2"/>
  </si>
  <si>
    <t>設備PFマスタ.xlsx</t>
    <phoneticPr fontId="2"/>
  </si>
  <si>
    <t>ラインNo</t>
  </si>
  <si>
    <t>PF名</t>
  </si>
  <si>
    <t>製品型</t>
    <rPh sb="0" eb="3">
      <t>セイヒンガタ</t>
    </rPh>
    <phoneticPr fontId="2"/>
  </si>
  <si>
    <t>要因No.</t>
    <rPh sb="0" eb="2">
      <t>ヨウイン</t>
    </rPh>
    <phoneticPr fontId="2"/>
  </si>
  <si>
    <t>停止要因マスタ.xlsx</t>
    <phoneticPr fontId="2"/>
  </si>
  <si>
    <t>要因No.:停止要因項目
0:運転中
1:機械故障
2:段取り
3:計画停止
4:個品欠品
5:手配なし
6:チョコ停①
7:チョコ停②
8:チョコ停③
9:チョコ停④
10:チョコ停⑤
11:チョコ停⑥
12:未使用
13:未使用
14:未使用
15:未使用
100:チョコ停不明
200:停止要因選択ユニット無効
201:通信エラー</t>
    <phoneticPr fontId="2"/>
  </si>
  <si>
    <t>停止要因名</t>
    <rPh sb="4" eb="5">
      <t>メイ</t>
    </rPh>
    <phoneticPr fontId="2"/>
  </si>
  <si>
    <t>停止要因項目</t>
    <phoneticPr fontId="2"/>
  </si>
  <si>
    <t>datetime</t>
  </si>
  <si>
    <t>時刻</t>
    <phoneticPr fontId="2"/>
  </si>
  <si>
    <t>-</t>
    <phoneticPr fontId="2"/>
  </si>
  <si>
    <t>ラインNo</t>
    <phoneticPr fontId="2"/>
  </si>
  <si>
    <t>0:開始待/1:開始/2:停止/3:再開/4:終了</t>
    <phoneticPr fontId="2"/>
  </si>
  <si>
    <t>要因No</t>
    <phoneticPr fontId="2"/>
  </si>
  <si>
    <t>遷移終了日時</t>
  </si>
  <si>
    <t>date</t>
  </si>
  <si>
    <t>営業日</t>
  </si>
  <si>
    <t>DAX</t>
    <phoneticPr fontId="2"/>
  </si>
  <si>
    <t>ライン一覧</t>
    <phoneticPr fontId="2"/>
  </si>
  <si>
    <t>Source.Name</t>
    <phoneticPr fontId="2"/>
  </si>
  <si>
    <t>ステータス</t>
    <phoneticPr fontId="2"/>
  </si>
  <si>
    <t>ラインNo_PF名</t>
    <phoneticPr fontId="2"/>
  </si>
  <si>
    <t>0:生産開始/1:定時/2：一時停止/3:生産終了/4:定時終了</t>
    <phoneticPr fontId="2"/>
  </si>
  <si>
    <t>Row</t>
    <phoneticPr fontId="2"/>
  </si>
  <si>
    <t>Nコード</t>
    <phoneticPr fontId="1"/>
  </si>
  <si>
    <t>ラインNo.</t>
    <phoneticPr fontId="2"/>
  </si>
  <si>
    <t>T投入数[個]</t>
    <phoneticPr fontId="2"/>
  </si>
  <si>
    <t>T生産数[個]</t>
    <phoneticPr fontId="2"/>
  </si>
  <si>
    <t>1時間ごとの生産数</t>
    <phoneticPr fontId="2"/>
  </si>
  <si>
    <t>1時間ごとの不良数</t>
    <phoneticPr fontId="2"/>
  </si>
  <si>
    <t>Datetime-1hour</t>
    <phoneticPr fontId="2"/>
  </si>
  <si>
    <t>1秒判定</t>
    <phoneticPr fontId="2"/>
  </si>
  <si>
    <t>T不良1_短絡不良</t>
  </si>
  <si>
    <t>T不良2_短絡1不良</t>
  </si>
  <si>
    <t>T不良3_短絡2不良</t>
  </si>
  <si>
    <t>T不良4_導通不良</t>
  </si>
  <si>
    <t>T不良5_機器不良</t>
  </si>
  <si>
    <t>T不良6_SMT1不良</t>
  </si>
  <si>
    <t>T不良7_ﾋﾟｯﾁ1不良</t>
  </si>
  <si>
    <t>T不良8_SMT2不良</t>
  </si>
  <si>
    <t>T不良9_ﾋﾟｯﾁ2不良</t>
  </si>
  <si>
    <t>T不良10_予備</t>
  </si>
  <si>
    <t>Table.AddColumn(#"名前が変更された列 ", "1秒判定", each Time.Second([datetime]))</t>
    <phoneticPr fontId="2"/>
  </si>
  <si>
    <t>Datetimeから1時間引いた値</t>
    <rPh sb="11" eb="13">
      <t>ジカン</t>
    </rPh>
    <rPh sb="13" eb="14">
      <t>ヒ</t>
    </rPh>
    <rPh sb="16" eb="17">
      <t>アタイ</t>
    </rPh>
    <phoneticPr fontId="2"/>
  </si>
  <si>
    <t>Nコード ごとにdatetimeの順番を連番で欠番が出ないランク付け</t>
    <phoneticPr fontId="2"/>
  </si>
  <si>
    <t>Nコード ごとにdatetimeの順番を連番で欠番が出ないランク付け</t>
    <phoneticPr fontId="2"/>
  </si>
  <si>
    <t>コードの意味を出力</t>
    <rPh sb="4" eb="6">
      <t>イミ</t>
    </rPh>
    <rPh sb="7" eb="9">
      <t>シュツリョク</t>
    </rPh>
    <phoneticPr fontId="2"/>
  </si>
  <si>
    <t>使用していない</t>
    <rPh sb="0" eb="2">
      <t>シヨウ</t>
    </rPh>
    <phoneticPr fontId="2"/>
  </si>
  <si>
    <t>Nコード ごとの次のステータスに遷移した時間を出力</t>
    <rPh sb="8" eb="9">
      <t>ツギ</t>
    </rPh>
    <rPh sb="16" eb="18">
      <t>センイ</t>
    </rPh>
    <rPh sb="20" eb="22">
      <t>ジカン</t>
    </rPh>
    <rPh sb="23" eb="25">
      <t>シュツリョク</t>
    </rPh>
    <phoneticPr fontId="2"/>
  </si>
  <si>
    <t>稼働状況レポートの表示名で使用</t>
    <rPh sb="0" eb="4">
      <t>カドウジョウキョウ</t>
    </rPh>
    <rPh sb="9" eb="12">
      <t>ヒョウジメイ</t>
    </rPh>
    <rPh sb="13" eb="15">
      <t>シヨウ</t>
    </rPh>
    <phoneticPr fontId="2"/>
  </si>
  <si>
    <t xml:space="preserve">Datetimeが08:00:01～翌日08:00:00までを同営業日として判別する
ただし08:00:01は出力対象外であるため、実質09:00:00～翌日08:00:00を同営業日として判別する
</t>
    <rPh sb="18" eb="20">
      <t>ヨクジツ</t>
    </rPh>
    <rPh sb="31" eb="32">
      <t>ドウ</t>
    </rPh>
    <rPh sb="32" eb="35">
      <t>エイギョウビ</t>
    </rPh>
    <rPh sb="38" eb="40">
      <t>ハンベツ</t>
    </rPh>
    <rPh sb="55" eb="60">
      <t>シュツリョクタイショウガイ</t>
    </rPh>
    <rPh sb="66" eb="68">
      <t>ジッシツ</t>
    </rPh>
    <rPh sb="77" eb="79">
      <t>ヨクジツ</t>
    </rPh>
    <rPh sb="88" eb="89">
      <t>ドウ</t>
    </rPh>
    <rPh sb="89" eb="92">
      <t>エイギョウビ</t>
    </rPh>
    <rPh sb="95" eb="97">
      <t>ハンベツ</t>
    </rPh>
    <phoneticPr fontId="2"/>
  </si>
  <si>
    <t>08:00:01を除くための判別項目
（08:00:01は生産開始時となり、生産数0のため出力対象外とする）</t>
    <rPh sb="9" eb="10">
      <t>ノゾ</t>
    </rPh>
    <rPh sb="14" eb="16">
      <t>ハンベツ</t>
    </rPh>
    <rPh sb="16" eb="18">
      <t>コウモク</t>
    </rPh>
    <rPh sb="29" eb="34">
      <t>セイサンカイシジ</t>
    </rPh>
    <rPh sb="38" eb="41">
      <t>セイサンスウ</t>
    </rPh>
    <rPh sb="45" eb="50">
      <t>シュツリョクタイショウガイ</t>
    </rPh>
    <phoneticPr fontId="2"/>
  </si>
  <si>
    <t>datetime</t>
    <phoneticPr fontId="2"/>
  </si>
  <si>
    <t>生産数</t>
    <rPh sb="0" eb="3">
      <t>セイサンスウ</t>
    </rPh>
    <phoneticPr fontId="2"/>
  </si>
  <si>
    <t>1時間当たりの生産数</t>
    <rPh sb="1" eb="3">
      <t>ジカン</t>
    </rPh>
    <rPh sb="3" eb="4">
      <t>ア</t>
    </rPh>
    <rPh sb="7" eb="10">
      <t>セイサンスウ</t>
    </rPh>
    <phoneticPr fontId="2"/>
  </si>
  <si>
    <t>例</t>
    <rPh sb="0" eb="1">
      <t>レイ</t>
    </rPh>
    <phoneticPr fontId="2"/>
  </si>
  <si>
    <t>名称</t>
    <rPh sb="0" eb="2">
      <t>メイショウ</t>
    </rPh>
    <phoneticPr fontId="2"/>
  </si>
  <si>
    <t>説明</t>
    <rPh sb="0" eb="2">
      <t>セツメイ</t>
    </rPh>
    <phoneticPr fontId="2"/>
  </si>
  <si>
    <t>カレンダー</t>
    <phoneticPr fontId="2"/>
  </si>
  <si>
    <t>稼働状況</t>
    <rPh sb="0" eb="4">
      <t>カドウジョウキョウ</t>
    </rPh>
    <phoneticPr fontId="2"/>
  </si>
  <si>
    <t>ラインNo_PFごとの稼働状況を表示</t>
    <rPh sb="11" eb="15">
      <t>カドウジョウキョウ</t>
    </rPh>
    <rPh sb="16" eb="18">
      <t>ヒョウジ</t>
    </rPh>
    <phoneticPr fontId="2"/>
  </si>
  <si>
    <t>ライン毎の生産数/計画数</t>
  </si>
  <si>
    <t>各ラインの生産数/計画数を表示</t>
    <rPh sb="0" eb="1">
      <t>カク</t>
    </rPh>
    <rPh sb="5" eb="8">
      <t>セイサンスウ</t>
    </rPh>
    <rPh sb="9" eb="12">
      <t>ケイカクスウ</t>
    </rPh>
    <rPh sb="13" eb="15">
      <t>ヒョウジ</t>
    </rPh>
    <phoneticPr fontId="2"/>
  </si>
  <si>
    <t>日付は営業日</t>
    <rPh sb="0" eb="2">
      <t>ヒヅケ</t>
    </rPh>
    <rPh sb="3" eb="6">
      <t>エイギョウビ</t>
    </rPh>
    <phoneticPr fontId="2"/>
  </si>
  <si>
    <t>不良数</t>
    <rPh sb="0" eb="3">
      <t>フリョウスウ</t>
    </rPh>
    <phoneticPr fontId="2"/>
  </si>
  <si>
    <t>1時間ごとの進捗状況</t>
    <phoneticPr fontId="2"/>
  </si>
  <si>
    <t>稼働/停止要因</t>
  </si>
  <si>
    <t>1時間ごとの生産数を表示</t>
    <rPh sb="1" eb="3">
      <t>ジカン</t>
    </rPh>
    <rPh sb="6" eb="9">
      <t>セイサンスウ</t>
    </rPh>
    <rPh sb="10" eb="12">
      <t>ヒョウジ</t>
    </rPh>
    <phoneticPr fontId="2"/>
  </si>
  <si>
    <t>1時間ごとの不良数を表示</t>
    <rPh sb="1" eb="3">
      <t>ジカン</t>
    </rPh>
    <rPh sb="6" eb="8">
      <t>フリョウ</t>
    </rPh>
    <rPh sb="8" eb="9">
      <t>スウ</t>
    </rPh>
    <rPh sb="10" eb="12">
      <t>ヒョウジ</t>
    </rPh>
    <phoneticPr fontId="2"/>
  </si>
  <si>
    <t>1時間ごとの進捗状況を表示</t>
    <rPh sb="6" eb="10">
      <t>シンチョクジョウキョウ</t>
    </rPh>
    <phoneticPr fontId="2"/>
  </si>
  <si>
    <t>稼働/停止の要因を割合で表示</t>
    <rPh sb="0" eb="2">
      <t>カドウ</t>
    </rPh>
    <rPh sb="3" eb="5">
      <t>テイシ</t>
    </rPh>
    <rPh sb="6" eb="8">
      <t>ヨウイン</t>
    </rPh>
    <rPh sb="9" eb="11">
      <t>ワリアイ</t>
    </rPh>
    <rPh sb="12" eb="14">
      <t>ヒョウジ</t>
    </rPh>
    <phoneticPr fontId="2"/>
  </si>
  <si>
    <t>1時間ごとの生産数 = 
IF('Prod_log'[T生産数[個]]] = 0,0,
    'Prod_log'[T生産数[個]]]
    -
    CALCULATE(
        MIN('Prod_log'[T生産数[個]]]),
        FILTER(
            ALL('Prod_log'),
            'Prod_log'[Nコード] = EARLIER('Prod_log'[Nコード]) 
            &amp;&amp; 'Prod_log'[Row] = EARLIER('Prod_log'[Row])-1
        )
    )
)</t>
  </si>
  <si>
    <t>1時間ごとの不良数 = 
IF('Prod_log'[T不良数[個]]] = 0,0,
    'Prod_log'[T不良数[個]]]
    -
    CALCULATE(
        MIN('Prod_log'[T不良数[個]]]),
        FILTER(
            ALL('Prod_log'),
            'Prod_log'[Nコード] = EARLIER('Prod_log'[Nコード]) 
            &amp;&amp; 'Prod_log'[Row] = EARLIER('Prod_log'[Row])-1
        )
    )
)</t>
  </si>
  <si>
    <t>date</t>
    <phoneticPr fontId="2"/>
  </si>
  <si>
    <t>メジャー</t>
    <phoneticPr fontId="2"/>
  </si>
  <si>
    <t>不良数最大値</t>
    <phoneticPr fontId="2"/>
  </si>
  <si>
    <t>分類</t>
    <rPh sb="0" eb="2">
      <t>ブンルイ</t>
    </rPh>
    <phoneticPr fontId="2"/>
  </si>
  <si>
    <t>Calendar</t>
    <phoneticPr fontId="2"/>
  </si>
  <si>
    <t>M03</t>
    <phoneticPr fontId="2"/>
  </si>
  <si>
    <t>カレンダーマスタ</t>
    <phoneticPr fontId="2"/>
  </si>
  <si>
    <t>年</t>
  </si>
  <si>
    <t>月</t>
  </si>
  <si>
    <t>月（英語）</t>
  </si>
  <si>
    <t>年月</t>
  </si>
  <si>
    <t>yyyy年mm月</t>
  </si>
  <si>
    <t>日</t>
  </si>
  <si>
    <t>年月日</t>
  </si>
  <si>
    <t>年/月/日</t>
  </si>
  <si>
    <t>曜日番号</t>
  </si>
  <si>
    <t>曜日</t>
  </si>
  <si>
    <t>週番号</t>
  </si>
  <si>
    <t>平日休日区分</t>
  </si>
  <si>
    <t>相対月数</t>
  </si>
  <si>
    <t>相対日数</t>
  </si>
  <si>
    <t>-</t>
    <phoneticPr fontId="2"/>
  </si>
  <si>
    <t>■特記事項</t>
    <rPh sb="1" eb="5">
      <t>トッキジコウ</t>
    </rPh>
    <phoneticPr fontId="2"/>
  </si>
  <si>
    <t>・1時間当たりの生産数（不良数）の考え方について</t>
    <rPh sb="2" eb="5">
      <t>ジカンア</t>
    </rPh>
    <rPh sb="8" eb="11">
      <t>セイサンスウ</t>
    </rPh>
    <rPh sb="12" eb="15">
      <t>フリョウスウ</t>
    </rPh>
    <rPh sb="17" eb="18">
      <t>カンガ</t>
    </rPh>
    <rPh sb="19" eb="20">
      <t>カタ</t>
    </rPh>
    <phoneticPr fontId="2"/>
  </si>
  <si>
    <t>選択した日付で稼働状況・ライン毎の生産数/計画数を抽出可能</t>
    <rPh sb="0" eb="2">
      <t>センタク</t>
    </rPh>
    <rPh sb="4" eb="6">
      <t>ヒヅケ</t>
    </rPh>
    <rPh sb="7" eb="9">
      <t>カドウ</t>
    </rPh>
    <rPh sb="9" eb="11">
      <t>ジョウキョウ</t>
    </rPh>
    <rPh sb="15" eb="16">
      <t>ゴト</t>
    </rPh>
    <rPh sb="17" eb="20">
      <t>セイサンスウ</t>
    </rPh>
    <rPh sb="21" eb="24">
      <t>ケイカクスウ</t>
    </rPh>
    <rPh sb="25" eb="29">
      <t>チュウシュツカノウ</t>
    </rPh>
    <phoneticPr fontId="2"/>
  </si>
  <si>
    <t>■レポートの用途</t>
    <rPh sb="6" eb="8">
      <t>ヨウト</t>
    </rPh>
    <phoneticPr fontId="2"/>
  </si>
  <si>
    <t>ラインごとの稼働状況や生産数を確認するためのレポート</t>
    <rPh sb="6" eb="10">
      <t>カドウジョウキョウ</t>
    </rPh>
    <rPh sb="11" eb="13">
      <t>セイサン</t>
    </rPh>
    <rPh sb="13" eb="14">
      <t>スウ</t>
    </rPh>
    <rPh sb="15" eb="17">
      <t>カクニン</t>
    </rPh>
    <phoneticPr fontId="2"/>
  </si>
  <si>
    <t>最終データ更新日時</t>
    <rPh sb="0" eb="2">
      <t>サイシュウ</t>
    </rPh>
    <rPh sb="5" eb="8">
      <t>コウシンビ</t>
    </rPh>
    <phoneticPr fontId="2"/>
  </si>
  <si>
    <t>最後に連携されたログの日時を表示</t>
    <rPh sb="0" eb="2">
      <t>サイゴ</t>
    </rPh>
    <rPh sb="3" eb="5">
      <t>レンケイ</t>
    </rPh>
    <rPh sb="11" eb="13">
      <t>ニチジ</t>
    </rPh>
    <rPh sb="14" eb="16">
      <t>ヒョウジ</t>
    </rPh>
    <phoneticPr fontId="2"/>
  </si>
  <si>
    <t>■画面一覧</t>
    <rPh sb="1" eb="5">
      <t>ガメンイチラン</t>
    </rPh>
    <phoneticPr fontId="2"/>
  </si>
  <si>
    <t>■画面説明</t>
    <rPh sb="1" eb="5">
      <t>ガメンセツメイ</t>
    </rPh>
    <phoneticPr fontId="2"/>
  </si>
  <si>
    <t>ライン一覧</t>
    <rPh sb="3" eb="5">
      <t>イチラン</t>
    </rPh>
    <phoneticPr fontId="2"/>
  </si>
  <si>
    <t>ライン単位（ラインNo：10BM28DP39）</t>
    <rPh sb="3" eb="5">
      <t>タンイ</t>
    </rPh>
    <phoneticPr fontId="2"/>
  </si>
  <si>
    <t>ライン単位（ラインNo：10BM28DP39）</t>
    <phoneticPr fontId="2"/>
  </si>
  <si>
    <t>最大値：日次の計画数（図の場合は営業日が2024/5/14の計画数）</t>
    <rPh sb="0" eb="3">
      <t>サイダイチ</t>
    </rPh>
    <rPh sb="4" eb="6">
      <t>ニチジ</t>
    </rPh>
    <rPh sb="7" eb="10">
      <t>ケイカクスウ</t>
    </rPh>
    <rPh sb="11" eb="12">
      <t>ズ</t>
    </rPh>
    <rPh sb="13" eb="15">
      <t>バアイ</t>
    </rPh>
    <phoneticPr fontId="2"/>
  </si>
  <si>
    <t>目標値：その時間の計画数（2024/5/15 7:00:00時点の生産数）</t>
    <rPh sb="0" eb="3">
      <t>モクヒョウチ</t>
    </rPh>
    <rPh sb="6" eb="8">
      <t>ジカン</t>
    </rPh>
    <rPh sb="9" eb="12">
      <t>ケイカクスウ</t>
    </rPh>
    <phoneticPr fontId="2"/>
  </si>
  <si>
    <t>稼働状況（開始/停止など）を表示</t>
    <rPh sb="0" eb="4">
      <t>カドウジョウキョウ</t>
    </rPh>
    <rPh sb="5" eb="7">
      <t>カイシ</t>
    </rPh>
    <rPh sb="8" eb="10">
      <t>テイシ</t>
    </rPh>
    <rPh sb="14" eb="16">
      <t>ヒョウジ</t>
    </rPh>
    <phoneticPr fontId="2"/>
  </si>
  <si>
    <t>例</t>
    <rPh sb="0" eb="1">
      <t>レイ</t>
    </rPh>
    <phoneticPr fontId="2"/>
  </si>
  <si>
    <t>営業日</t>
    <rPh sb="0" eb="3">
      <t>エイギョウビ</t>
    </rPh>
    <phoneticPr fontId="2"/>
  </si>
  <si>
    <t>日時</t>
    <rPh sb="0" eb="2">
      <t>ニチジ</t>
    </rPh>
    <phoneticPr fontId="2"/>
  </si>
  <si>
    <t>・営業日と日時の考え方について</t>
    <rPh sb="1" eb="4">
      <t>エイギョウビ</t>
    </rPh>
    <rPh sb="5" eb="7">
      <t>ニチジ</t>
    </rPh>
    <rPh sb="8" eb="9">
      <t>カンガ</t>
    </rPh>
    <rPh sb="10" eb="11">
      <t>カタ</t>
    </rPh>
    <phoneticPr fontId="2"/>
  </si>
  <si>
    <t>-</t>
    <phoneticPr fontId="2"/>
  </si>
  <si>
    <t>１．08:00:01~翌日08:00:00までを同一営業日として考える</t>
    <rPh sb="11" eb="13">
      <t>ヨクジツ</t>
    </rPh>
    <rPh sb="24" eb="26">
      <t>ドウイツ</t>
    </rPh>
    <rPh sb="26" eb="29">
      <t>エイギョウビ</t>
    </rPh>
    <rPh sb="32" eb="33">
      <t>カンガ</t>
    </rPh>
    <phoneticPr fontId="2"/>
  </si>
  <si>
    <t>２．日時は09:00:00を開始時間とする(08:00:01は出力対象外)</t>
    <rPh sb="2" eb="4">
      <t>ニチジ</t>
    </rPh>
    <rPh sb="14" eb="16">
      <t>カイシ</t>
    </rPh>
    <rPh sb="16" eb="18">
      <t>ジカン</t>
    </rPh>
    <phoneticPr fontId="2"/>
  </si>
  <si>
    <t>Prod_logの生産数は営業日単位で、その時間までに生産された累計の生産数が出力される</t>
    <rPh sb="9" eb="12">
      <t>セイサンスウ</t>
    </rPh>
    <rPh sb="13" eb="18">
      <t>エイギョウビタンイ</t>
    </rPh>
    <rPh sb="22" eb="24">
      <t>ジカン</t>
    </rPh>
    <rPh sb="27" eb="29">
      <t>セイサン</t>
    </rPh>
    <rPh sb="32" eb="34">
      <t>ルイケイ</t>
    </rPh>
    <rPh sb="35" eb="38">
      <t>セイサンスウ</t>
    </rPh>
    <rPh sb="39" eb="41">
      <t>シュツリョク</t>
    </rPh>
    <phoneticPr fontId="2"/>
  </si>
  <si>
    <t>1時間当たりの生産数を求めるため、（生産数ー1時間前の生産数）で求める</t>
    <rPh sb="1" eb="4">
      <t>ジカンア</t>
    </rPh>
    <rPh sb="7" eb="10">
      <t>セイサンスウ</t>
    </rPh>
    <rPh sb="11" eb="12">
      <t>モト</t>
    </rPh>
    <rPh sb="18" eb="21">
      <t>セイサンスウ</t>
    </rPh>
    <rPh sb="23" eb="26">
      <t>ジカンマエ</t>
    </rPh>
    <rPh sb="27" eb="30">
      <t>セイサンスウ</t>
    </rPh>
    <rPh sb="32" eb="33">
      <t>モト</t>
    </rPh>
    <phoneticPr fontId="2"/>
  </si>
  <si>
    <t>拠点用_稼働データの説明</t>
    <rPh sb="0" eb="3">
      <t>キョテンヨウ</t>
    </rPh>
    <rPh sb="4" eb="6">
      <t>カドウ</t>
    </rPh>
    <rPh sb="10" eb="12">
      <t>セツメイ</t>
    </rPh>
    <phoneticPr fontId="2"/>
  </si>
  <si>
    <t>DAX/メジャー</t>
    <phoneticPr fontId="2"/>
  </si>
  <si>
    <t>DAX</t>
  </si>
  <si>
    <t>営業日</t>
    <phoneticPr fontId="2"/>
  </si>
  <si>
    <t>Row</t>
  </si>
  <si>
    <t>ステータス</t>
  </si>
  <si>
    <t>ラインNo_PF名</t>
  </si>
  <si>
    <t>総合稼働率</t>
    <phoneticPr fontId="2"/>
  </si>
  <si>
    <t>YearNumber</t>
  </si>
  <si>
    <t>MonthNumber</t>
  </si>
  <si>
    <t>SWITCH(MonthNumber, 1, "Jan", 2, "Feb", 3, "Mar", 4, "Apr", 5, "May", 6, "Jun", 7, "Jul", 8, "Aug", 9, "Sep", 10, "Oct", 11, "Nov", 12, "Dec", "")</t>
  </si>
  <si>
    <t>FORMAT(BaseDate, "yyyymm")</t>
  </si>
  <si>
    <t>FORMAT(BaseDate, "yyyy年mm月")</t>
  </si>
  <si>
    <t>DateNumber</t>
  </si>
  <si>
    <t>FORMAT(BaseDate, "yyyymmdd")</t>
  </si>
  <si>
    <t>FORMAT(BaseDate, "yyyy/mm/dd")</t>
  </si>
  <si>
    <t>DayNumber</t>
  </si>
  <si>
    <t>SWITCH(DayNumber, 1, "日", 2, "月", 3, "火", 4, "水", 5, "木", 6, "金", 7, "土","")</t>
  </si>
  <si>
    <t>WEEKNUM(BaseDate, 1)</t>
  </si>
  <si>
    <t>SWITCH(DayNumber, 1, "休日", 2, "平日", 3, "平日", 4, "平日", 5, "平日", 6, "平日", 7, "休日","")</t>
  </si>
  <si>
    <t>DATEDIFF(TODAY(), BaseDate, MONTH)</t>
  </si>
  <si>
    <t>DATEDIFF(TODAY(), BaseDate, DAY)</t>
  </si>
  <si>
    <t>Stop_log</t>
  </si>
  <si>
    <t>date = DATEVALUE('Stop_log'[datetime])</t>
  </si>
  <si>
    <t>ステータス = 
IF('Stop_log'[0:開始待/1:開始/2:停止/3:再開/4:終了] = 0,"0:開始待ち",
IF('Stop_log'[0:開始待/1:開始/2:停止/3:再開/4:終了] = 1,"1:開始",
IF('Stop_log'[0:開始待/1:開始/2:停止/3:再開/4:終了] = 2,"2:停止",
IF('Stop_log'[0:開始待/1:開始/2:停止/3:再開/4:終了] = 3,"3:再開","4:終了"))))</t>
  </si>
  <si>
    <t>ラインNo_PF名 = 'Stop_log'[ラインNo.] &amp; "_" &amp; RELATED('mst_ラインNo'[PF名])</t>
  </si>
  <si>
    <t>秒考慮が必要な為Prod_logとは違う計算式</t>
    <rPh sb="0" eb="1">
      <t>ビョウ</t>
    </rPh>
    <rPh sb="1" eb="3">
      <t>コウリョ</t>
    </rPh>
    <rPh sb="4" eb="6">
      <t>ヒツヨウ</t>
    </rPh>
    <rPh sb="7" eb="8">
      <t>タメ</t>
    </rPh>
    <rPh sb="18" eb="19">
      <t>チガ</t>
    </rPh>
    <rPh sb="20" eb="23">
      <t>ケイサンシキ</t>
    </rPh>
    <phoneticPr fontId="2"/>
  </si>
  <si>
    <t>DIVIDE(SUM('Prod_log'[稼働時間]),'Stop_log'[就業時間],0)</t>
  </si>
  <si>
    <t>Prod_log</t>
  </si>
  <si>
    <t>Datetime-1hour = 'Prod_log'[datetime] - 1/24</t>
  </si>
  <si>
    <t>営業日 = 
VAR TotalSecondsOfDay = HOUR('Prod_log'[Datetime-1hour]) * 3600 + MINUTE('Prod_log'[Datetime-1hour]) * 60 + SECOND('Prod_log'[Datetime-1hour])
RETURN
IF (
    TotalSecondsOfDay &gt;= 28800,  // 8 hours, 0 minute, 1 second
    DATEVALUE('Prod_log'[Datetime-1hour]),
    DATEVALUE('Prod_log'[Datetime-1hour]) - 1
)</t>
  </si>
  <si>
    <t>Row = 
RANKX(
    FILTER(
        ALL('Prod_log'),
        'Prod_log'[Nコード] = EARLIER('Prod_log'[Nコード])
    ), 
    'Prod_log'[datetime], 
    , 
    ASC, 
    Dense
)</t>
  </si>
  <si>
    <t>遷移終了日時 = 
CALCULATE(
    MIN('Stop_log'[datetime]),
    FILTER(
        ALL('Stop_log'),
        'Stop_log'[Nコード] = EARLIER('Stop_log'[Nコード]) 
        &amp;&amp; 'Stop_log'[Row] = EARLIER('Stop_log'[Row])+1
    )
)</t>
    <phoneticPr fontId="2"/>
  </si>
  <si>
    <t>Row = 
RANKX(
    FILTER(
        ALL('Stop_log'),
        'Stop_log'[Nコード] = EARLIER('Stop_log'[Nコード])
    ), 
    'Stop_log'[datetime], 
    , 
    ASC, 
    Dense
)</t>
    <phoneticPr fontId="2"/>
  </si>
  <si>
    <t>営業日 = 
VAR TotalSecondsOfDay = HOUR('Stop_log'[datetime]) * 3600 + MINUTE('Stop_log'[datetime]) * 60 + SECOND('Stop_log'[datetime])
RETURN
IF (
    TotalSecondsOfDay &gt;= 28801,  // 8 hours, 0 minute, 1 second
    DATEVALUE('Stop_log'[datetime]),
    DATEVALUE('Stop_log'[datetime]) - 1
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</si>
</sst>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/d\ h:mm:ss"/>
    <numFmt numFmtId="177" formatCode="#,##0_);[Red]\(#,##0\)"/>
  </numFmts>
  <fonts count="9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theme="1"/>
      <name val="Meiryo UI"/>
      <family val="3"/>
      <charset val="128"/>
    </font>
    <font>
      <sz val="11"/>
      <color rgb="FFFF0000"/>
      <name val="Meiryo UI"/>
      <family val="3"/>
      <charset val="128"/>
    </font>
    <font>
      <sz val="11"/>
      <color theme="0"/>
      <name val="Meiryo UI"/>
      <family val="3"/>
      <charset val="128"/>
    </font>
    <font>
      <sz val="11"/>
      <name val="Meiryo UI"/>
      <family val="3"/>
      <charset val="128"/>
    </font>
    <font>
      <sz val="16"/>
      <color theme="1"/>
      <name val="Meiryo UI"/>
      <family val="3"/>
      <charset val="128"/>
    </font>
    <font>
      <sz val="11"/>
      <color rgb="FF000000"/>
      <name val="Meiryo UI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4" xfId="0" applyFont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3" borderId="1" xfId="0" applyFont="1" applyFill="1" applyBorder="1"/>
    <xf numFmtId="0" fontId="3" fillId="3" borderId="2" xfId="0" applyFont="1" applyFill="1" applyBorder="1"/>
    <xf numFmtId="0" fontId="3" fillId="3" borderId="4" xfId="0" applyFont="1" applyFill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5" borderId="5" xfId="0" applyFont="1" applyFill="1" applyBorder="1"/>
    <xf numFmtId="0" fontId="3" fillId="5" borderId="6" xfId="0" applyFont="1" applyFill="1" applyBorder="1"/>
    <xf numFmtId="0" fontId="3" fillId="5" borderId="7" xfId="0" applyFont="1" applyFill="1" applyBorder="1"/>
    <xf numFmtId="0" fontId="3" fillId="2" borderId="3" xfId="0" applyFont="1" applyFill="1" applyBorder="1"/>
    <xf numFmtId="0" fontId="3" fillId="0" borderId="3" xfId="0" applyFont="1" applyBorder="1"/>
    <xf numFmtId="0" fontId="3" fillId="3" borderId="3" xfId="0" applyFont="1" applyFill="1" applyBorder="1"/>
    <xf numFmtId="0" fontId="3" fillId="0" borderId="0" xfId="0" applyFont="1" applyAlignment="1">
      <alignment horizontal="left" vertical="top"/>
    </xf>
    <xf numFmtId="0" fontId="5" fillId="0" borderId="0" xfId="0" applyFont="1"/>
    <xf numFmtId="0" fontId="3" fillId="3" borderId="1" xfId="0" applyFont="1" applyFill="1" applyBorder="1" applyAlignment="1">
      <alignment horizontal="left" vertical="top"/>
    </xf>
    <xf numFmtId="0" fontId="3" fillId="3" borderId="2" xfId="0" applyFont="1" applyFill="1" applyBorder="1" applyAlignment="1">
      <alignment horizontal="left" vertical="top"/>
    </xf>
    <xf numFmtId="0" fontId="3" fillId="3" borderId="4" xfId="0" applyFont="1" applyFill="1" applyBorder="1" applyAlignment="1">
      <alignment horizontal="left" vertical="top"/>
    </xf>
    <xf numFmtId="0" fontId="3" fillId="3" borderId="3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3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3" fillId="0" borderId="1" xfId="0" quotePrefix="1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3" fillId="0" borderId="1" xfId="0" quotePrefix="1" applyFont="1" applyBorder="1" applyAlignment="1">
      <alignment horizontal="left" vertical="top" wrapText="1"/>
    </xf>
    <xf numFmtId="0" fontId="6" fillId="0" borderId="3" xfId="0" applyFont="1" applyBorder="1" applyAlignment="1">
      <alignment vertical="center" shrinkToFit="1"/>
    </xf>
    <xf numFmtId="0" fontId="6" fillId="0" borderId="0" xfId="0" applyFont="1"/>
    <xf numFmtId="0" fontId="6" fillId="0" borderId="1" xfId="0" quotePrefix="1" applyFont="1" applyBorder="1" applyAlignment="1">
      <alignment horizontal="left" vertical="top"/>
    </xf>
    <xf numFmtId="0" fontId="3" fillId="0" borderId="3" xfId="0" applyFont="1" applyBorder="1" applyAlignment="1">
      <alignment horizontal="left" vertical="top" wrapText="1"/>
    </xf>
    <xf numFmtId="0" fontId="7" fillId="0" borderId="0" xfId="0" applyFont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8" fillId="0" borderId="5" xfId="0" applyFont="1" applyBorder="1"/>
    <xf numFmtId="0" fontId="8" fillId="0" borderId="1" xfId="0" applyFont="1" applyBorder="1"/>
    <xf numFmtId="0" fontId="8" fillId="0" borderId="2" xfId="0" applyFont="1" applyBorder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4" xfId="0" applyFont="1" applyFill="1" applyBorder="1"/>
    <xf numFmtId="0" fontId="3" fillId="3" borderId="2" xfId="0" applyFont="1" applyFill="1" applyBorder="1" applyAlignment="1">
      <alignment horizontal="centerContinuous"/>
    </xf>
    <xf numFmtId="0" fontId="3" fillId="3" borderId="4" xfId="0" applyFont="1" applyFill="1" applyBorder="1" applyAlignment="1">
      <alignment horizontal="centerContinuous"/>
    </xf>
    <xf numFmtId="176" fontId="3" fillId="0" borderId="1" xfId="0" applyNumberFormat="1" applyFont="1" applyBorder="1" applyAlignment="1">
      <alignment horizontal="centerContinuous"/>
    </xf>
    <xf numFmtId="176" fontId="3" fillId="0" borderId="2" xfId="0" applyNumberFormat="1" applyFont="1" applyBorder="1" applyAlignment="1">
      <alignment horizontal="centerContinuous"/>
    </xf>
    <xf numFmtId="176" fontId="3" fillId="0" borderId="4" xfId="0" applyNumberFormat="1" applyFont="1" applyBorder="1" applyAlignment="1">
      <alignment horizontal="centerContinuous"/>
    </xf>
    <xf numFmtId="14" fontId="3" fillId="0" borderId="1" xfId="0" applyNumberFormat="1" applyFont="1" applyBorder="1" applyAlignment="1">
      <alignment horizontal="centerContinuous"/>
    </xf>
    <xf numFmtId="176" fontId="3" fillId="0" borderId="0" xfId="0" applyNumberFormat="1" applyFont="1" applyAlignment="1">
      <alignment horizontal="centerContinuous"/>
    </xf>
    <xf numFmtId="14" fontId="3" fillId="0" borderId="0" xfId="0" applyNumberFormat="1" applyFont="1" applyAlignment="1">
      <alignment horizontal="centerContinuous"/>
    </xf>
    <xf numFmtId="177" fontId="3" fillId="3" borderId="1" xfId="0" applyNumberFormat="1" applyFont="1" applyFill="1" applyBorder="1"/>
    <xf numFmtId="177" fontId="3" fillId="0" borderId="1" xfId="0" applyNumberFormat="1" applyFont="1" applyBorder="1" applyAlignment="1">
      <alignment horizontal="centerContinuous"/>
    </xf>
    <xf numFmtId="177" fontId="3" fillId="6" borderId="1" xfId="0" applyNumberFormat="1" applyFont="1" applyFill="1" applyBorder="1" applyAlignment="1">
      <alignment horizontal="centerContinuous"/>
    </xf>
    <xf numFmtId="176" fontId="3" fillId="4" borderId="1" xfId="0" applyNumberFormat="1" applyFont="1" applyFill="1" applyBorder="1" applyAlignment="1">
      <alignment horizontal="centerContinuous"/>
    </xf>
    <xf numFmtId="176" fontId="3" fillId="4" borderId="2" xfId="0" applyNumberFormat="1" applyFont="1" applyFill="1" applyBorder="1" applyAlignment="1">
      <alignment horizontal="centerContinuous"/>
    </xf>
    <xf numFmtId="176" fontId="3" fillId="4" borderId="4" xfId="0" applyNumberFormat="1" applyFont="1" applyFill="1" applyBorder="1" applyAlignment="1">
      <alignment horizontal="centerContinuous"/>
    </xf>
    <xf numFmtId="177" fontId="3" fillId="4" borderId="1" xfId="0" applyNumberFormat="1" applyFont="1" applyFill="1" applyBorder="1" applyAlignment="1">
      <alignment horizontal="centerContinuous"/>
    </xf>
    <xf numFmtId="176" fontId="3" fillId="6" borderId="2" xfId="0" applyNumberFormat="1" applyFont="1" applyFill="1" applyBorder="1" applyAlignment="1">
      <alignment horizontal="centerContinuous"/>
    </xf>
    <xf numFmtId="176" fontId="3" fillId="6" borderId="4" xfId="0" applyNumberFormat="1" applyFont="1" applyFill="1" applyBorder="1" applyAlignment="1">
      <alignment horizontal="centerContinuous"/>
    </xf>
    <xf numFmtId="14" fontId="3" fillId="6" borderId="1" xfId="0" applyNumberFormat="1" applyFont="1" applyFill="1" applyBorder="1" applyAlignment="1">
      <alignment horizontal="centerContinuous"/>
    </xf>
    <xf numFmtId="176" fontId="3" fillId="7" borderId="1" xfId="0" applyNumberFormat="1" applyFont="1" applyFill="1" applyBorder="1" applyAlignment="1">
      <alignment horizontal="centerContinuous"/>
    </xf>
    <xf numFmtId="176" fontId="3" fillId="7" borderId="2" xfId="0" applyNumberFormat="1" applyFont="1" applyFill="1" applyBorder="1" applyAlignment="1">
      <alignment horizontal="centerContinuous"/>
    </xf>
    <xf numFmtId="176" fontId="3" fillId="7" borderId="4" xfId="0" applyNumberFormat="1" applyFont="1" applyFill="1" applyBorder="1" applyAlignment="1">
      <alignment horizontal="centerContinuous"/>
    </xf>
    <xf numFmtId="177" fontId="3" fillId="0" borderId="0" xfId="0" applyNumberFormat="1" applyFont="1" applyAlignment="1">
      <alignment horizontal="centerContinuous"/>
    </xf>
    <xf numFmtId="0" fontId="3" fillId="0" borderId="5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7" Type="http://schemas.openxmlformats.org/officeDocument/2006/relationships/image" Target="../media/image7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6.png"/><Relationship Id="rId5" Type="http://schemas.microsoft.com/office/2007/relationships/hdphoto" Target="../media/hdphoto2.wdp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43</xdr:row>
      <xdr:rowOff>1</xdr:rowOff>
    </xdr:from>
    <xdr:to>
      <xdr:col>31</xdr:col>
      <xdr:colOff>64600</xdr:colOff>
      <xdr:row>63</xdr:row>
      <xdr:rowOff>23813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A326C573-68C7-F626-70ED-AF191F48B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375" y="12282489"/>
          <a:ext cx="6732100" cy="383381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31</xdr:col>
      <xdr:colOff>76929</xdr:colOff>
      <xdr:row>32</xdr:row>
      <xdr:rowOff>14287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CAB8961B-9D69-D98A-9637-9E9C166C0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4376" y="1804459"/>
          <a:ext cx="6744429" cy="3824287"/>
        </a:xfrm>
        <a:prstGeom prst="rect">
          <a:avLst/>
        </a:prstGeom>
      </xdr:spPr>
    </xdr:pic>
    <xdr:clientData/>
  </xdr:twoCellAnchor>
  <xdr:twoCellAnchor>
    <xdr:from>
      <xdr:col>18</xdr:col>
      <xdr:colOff>180975</xdr:colOff>
      <xdr:row>10</xdr:row>
      <xdr:rowOff>85725</xdr:rowOff>
    </xdr:from>
    <xdr:to>
      <xdr:col>25</xdr:col>
      <xdr:colOff>80963</xdr:colOff>
      <xdr:row>12</xdr:row>
      <xdr:rowOff>52387</xdr:rowOff>
    </xdr:to>
    <xdr:sp macro="" textlink="">
      <xdr:nvSpPr>
        <xdr:cNvPr id="13" name="吹き出し: 四角形 12">
          <a:extLst>
            <a:ext uri="{FF2B5EF4-FFF2-40B4-BE49-F238E27FC236}">
              <a16:creationId xmlns:a16="http://schemas.microsoft.com/office/drawing/2014/main" id="{FBACD1F8-CD49-A3B1-6F8B-518284152FEE}"/>
            </a:ext>
          </a:extLst>
        </xdr:cNvPr>
        <xdr:cNvSpPr/>
      </xdr:nvSpPr>
      <xdr:spPr>
        <a:xfrm>
          <a:off x="4229100" y="6081713"/>
          <a:ext cx="1566863" cy="347662"/>
        </a:xfrm>
        <a:prstGeom prst="wedgeRectCallout">
          <a:avLst>
            <a:gd name="adj1" fmla="val -60651"/>
            <a:gd name="adj2" fmla="val 77569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①最終データ更新日時</a:t>
          </a:r>
        </a:p>
      </xdr:txBody>
    </xdr:sp>
    <xdr:clientData/>
  </xdr:twoCellAnchor>
  <xdr:twoCellAnchor>
    <xdr:from>
      <xdr:col>8</xdr:col>
      <xdr:colOff>23813</xdr:colOff>
      <xdr:row>21</xdr:row>
      <xdr:rowOff>23813</xdr:rowOff>
    </xdr:from>
    <xdr:to>
      <xdr:col>14</xdr:col>
      <xdr:colOff>161926</xdr:colOff>
      <xdr:row>22</xdr:row>
      <xdr:rowOff>180975</xdr:rowOff>
    </xdr:to>
    <xdr:sp macro="" textlink="">
      <xdr:nvSpPr>
        <xdr:cNvPr id="14" name="吹き出し: 四角形 13">
          <a:extLst>
            <a:ext uri="{FF2B5EF4-FFF2-40B4-BE49-F238E27FC236}">
              <a16:creationId xmlns:a16="http://schemas.microsoft.com/office/drawing/2014/main" id="{5A8888AE-F143-CE61-2DE3-86E21C540EE9}"/>
            </a:ext>
          </a:extLst>
        </xdr:cNvPr>
        <xdr:cNvSpPr/>
      </xdr:nvSpPr>
      <xdr:spPr>
        <a:xfrm>
          <a:off x="1690688" y="8115301"/>
          <a:ext cx="1566863" cy="347662"/>
        </a:xfrm>
        <a:prstGeom prst="wedgeRectCallout">
          <a:avLst>
            <a:gd name="adj1" fmla="val -60955"/>
            <a:gd name="adj2" fmla="val -118322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②カレンダー</a:t>
          </a:r>
        </a:p>
      </xdr:txBody>
    </xdr:sp>
    <xdr:clientData/>
  </xdr:twoCellAnchor>
  <xdr:twoCellAnchor>
    <xdr:from>
      <xdr:col>31</xdr:col>
      <xdr:colOff>66675</xdr:colOff>
      <xdr:row>14</xdr:row>
      <xdr:rowOff>138113</xdr:rowOff>
    </xdr:from>
    <xdr:to>
      <xdr:col>37</xdr:col>
      <xdr:colOff>204788</xdr:colOff>
      <xdr:row>16</xdr:row>
      <xdr:rowOff>104775</xdr:rowOff>
    </xdr:to>
    <xdr:sp macro="" textlink="">
      <xdr:nvSpPr>
        <xdr:cNvPr id="15" name="吹き出し: 四角形 14">
          <a:extLst>
            <a:ext uri="{FF2B5EF4-FFF2-40B4-BE49-F238E27FC236}">
              <a16:creationId xmlns:a16="http://schemas.microsoft.com/office/drawing/2014/main" id="{BDE130E6-C618-E1F3-D06C-F9A7F27CC563}"/>
            </a:ext>
          </a:extLst>
        </xdr:cNvPr>
        <xdr:cNvSpPr/>
      </xdr:nvSpPr>
      <xdr:spPr>
        <a:xfrm>
          <a:off x="7210425" y="6896101"/>
          <a:ext cx="1566863" cy="347662"/>
        </a:xfrm>
        <a:prstGeom prst="wedgeRectCallout">
          <a:avLst>
            <a:gd name="adj1" fmla="val -60651"/>
            <a:gd name="adj2" fmla="val 77569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③稼働状況</a:t>
          </a:r>
        </a:p>
      </xdr:txBody>
    </xdr:sp>
    <xdr:clientData/>
  </xdr:twoCellAnchor>
  <xdr:twoCellAnchor>
    <xdr:from>
      <xdr:col>31</xdr:col>
      <xdr:colOff>200025</xdr:colOff>
      <xdr:row>23</xdr:row>
      <xdr:rowOff>95250</xdr:rowOff>
    </xdr:from>
    <xdr:to>
      <xdr:col>39</xdr:col>
      <xdr:colOff>104775</xdr:colOff>
      <xdr:row>25</xdr:row>
      <xdr:rowOff>61912</xdr:rowOff>
    </xdr:to>
    <xdr:sp macro="" textlink="">
      <xdr:nvSpPr>
        <xdr:cNvPr id="16" name="吹き出し: 四角形 15">
          <a:extLst>
            <a:ext uri="{FF2B5EF4-FFF2-40B4-BE49-F238E27FC236}">
              <a16:creationId xmlns:a16="http://schemas.microsoft.com/office/drawing/2014/main" id="{5D50DA86-B293-DA43-C227-19FF6396A713}"/>
            </a:ext>
          </a:extLst>
        </xdr:cNvPr>
        <xdr:cNvSpPr/>
      </xdr:nvSpPr>
      <xdr:spPr>
        <a:xfrm>
          <a:off x="7343775" y="8567738"/>
          <a:ext cx="1809750" cy="347662"/>
        </a:xfrm>
        <a:prstGeom prst="wedgeRectCallout">
          <a:avLst>
            <a:gd name="adj1" fmla="val -60651"/>
            <a:gd name="adj2" fmla="val 77569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④ライン毎の生産数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計画数</a:t>
          </a:r>
        </a:p>
      </xdr:txBody>
    </xdr:sp>
    <xdr:clientData/>
  </xdr:twoCellAnchor>
  <xdr:twoCellAnchor>
    <xdr:from>
      <xdr:col>18</xdr:col>
      <xdr:colOff>180975</xdr:colOff>
      <xdr:row>41</xdr:row>
      <xdr:rowOff>85725</xdr:rowOff>
    </xdr:from>
    <xdr:to>
      <xdr:col>25</xdr:col>
      <xdr:colOff>80963</xdr:colOff>
      <xdr:row>43</xdr:row>
      <xdr:rowOff>52387</xdr:rowOff>
    </xdr:to>
    <xdr:sp macro="" textlink="">
      <xdr:nvSpPr>
        <xdr:cNvPr id="19" name="吹き出し: 四角形 18">
          <a:extLst>
            <a:ext uri="{FF2B5EF4-FFF2-40B4-BE49-F238E27FC236}">
              <a16:creationId xmlns:a16="http://schemas.microsoft.com/office/drawing/2014/main" id="{35B87F8A-17FF-4EA7-A185-32F86E4066AE}"/>
            </a:ext>
          </a:extLst>
        </xdr:cNvPr>
        <xdr:cNvSpPr/>
      </xdr:nvSpPr>
      <xdr:spPr>
        <a:xfrm>
          <a:off x="4467225" y="6081713"/>
          <a:ext cx="1566863" cy="347662"/>
        </a:xfrm>
        <a:prstGeom prst="wedgeRectCallout">
          <a:avLst>
            <a:gd name="adj1" fmla="val -60651"/>
            <a:gd name="adj2" fmla="val 77569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①最終データ更新日時</a:t>
          </a:r>
        </a:p>
      </xdr:txBody>
    </xdr:sp>
    <xdr:clientData/>
  </xdr:twoCellAnchor>
  <xdr:twoCellAnchor>
    <xdr:from>
      <xdr:col>8</xdr:col>
      <xdr:colOff>23813</xdr:colOff>
      <xdr:row>52</xdr:row>
      <xdr:rowOff>23813</xdr:rowOff>
    </xdr:from>
    <xdr:to>
      <xdr:col>14</xdr:col>
      <xdr:colOff>161926</xdr:colOff>
      <xdr:row>53</xdr:row>
      <xdr:rowOff>180975</xdr:rowOff>
    </xdr:to>
    <xdr:sp macro="" textlink="">
      <xdr:nvSpPr>
        <xdr:cNvPr id="20" name="吹き出し: 四角形 19">
          <a:extLst>
            <a:ext uri="{FF2B5EF4-FFF2-40B4-BE49-F238E27FC236}">
              <a16:creationId xmlns:a16="http://schemas.microsoft.com/office/drawing/2014/main" id="{AB20DA60-B98F-41AB-82B2-9D79150332E3}"/>
            </a:ext>
          </a:extLst>
        </xdr:cNvPr>
        <xdr:cNvSpPr/>
      </xdr:nvSpPr>
      <xdr:spPr>
        <a:xfrm>
          <a:off x="1928813" y="8115301"/>
          <a:ext cx="1566863" cy="347662"/>
        </a:xfrm>
        <a:prstGeom prst="wedgeRectCallout">
          <a:avLst>
            <a:gd name="adj1" fmla="val -60955"/>
            <a:gd name="adj2" fmla="val -118322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②カレンダー</a:t>
          </a:r>
        </a:p>
      </xdr:txBody>
    </xdr:sp>
    <xdr:clientData/>
  </xdr:twoCellAnchor>
  <xdr:twoCellAnchor>
    <xdr:from>
      <xdr:col>31</xdr:col>
      <xdr:colOff>28575</xdr:colOff>
      <xdr:row>44</xdr:row>
      <xdr:rowOff>38101</xdr:rowOff>
    </xdr:from>
    <xdr:to>
      <xdr:col>37</xdr:col>
      <xdr:colOff>166688</xdr:colOff>
      <xdr:row>46</xdr:row>
      <xdr:rowOff>4763</xdr:rowOff>
    </xdr:to>
    <xdr:sp macro="" textlink="">
      <xdr:nvSpPr>
        <xdr:cNvPr id="21" name="吹き出し: 四角形 20">
          <a:extLst>
            <a:ext uri="{FF2B5EF4-FFF2-40B4-BE49-F238E27FC236}">
              <a16:creationId xmlns:a16="http://schemas.microsoft.com/office/drawing/2014/main" id="{E0AFBD8A-D1F1-412F-B9CD-DF474D36B0EC}"/>
            </a:ext>
          </a:extLst>
        </xdr:cNvPr>
        <xdr:cNvSpPr/>
      </xdr:nvSpPr>
      <xdr:spPr>
        <a:xfrm>
          <a:off x="7410450" y="12511089"/>
          <a:ext cx="1566863" cy="347662"/>
        </a:xfrm>
        <a:prstGeom prst="wedgeRectCallout">
          <a:avLst>
            <a:gd name="adj1" fmla="val -60651"/>
            <a:gd name="adj2" fmla="val 77569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③設備稼働状況</a:t>
          </a:r>
        </a:p>
      </xdr:txBody>
    </xdr:sp>
    <xdr:clientData/>
  </xdr:twoCellAnchor>
  <xdr:twoCellAnchor>
    <xdr:from>
      <xdr:col>31</xdr:col>
      <xdr:colOff>109538</xdr:colOff>
      <xdr:row>50</xdr:row>
      <xdr:rowOff>38100</xdr:rowOff>
    </xdr:from>
    <xdr:to>
      <xdr:col>35</xdr:col>
      <xdr:colOff>4763</xdr:colOff>
      <xdr:row>52</xdr:row>
      <xdr:rowOff>4762</xdr:rowOff>
    </xdr:to>
    <xdr:sp macro="" textlink="">
      <xdr:nvSpPr>
        <xdr:cNvPr id="22" name="吹き出し: 四角形 21">
          <a:extLst>
            <a:ext uri="{FF2B5EF4-FFF2-40B4-BE49-F238E27FC236}">
              <a16:creationId xmlns:a16="http://schemas.microsoft.com/office/drawing/2014/main" id="{CF1FCD2B-D28F-4897-B132-2B8ED25C9ED1}"/>
            </a:ext>
          </a:extLst>
        </xdr:cNvPr>
        <xdr:cNvSpPr/>
      </xdr:nvSpPr>
      <xdr:spPr>
        <a:xfrm>
          <a:off x="7491413" y="13654088"/>
          <a:ext cx="847725" cy="347662"/>
        </a:xfrm>
        <a:prstGeom prst="wedgeRectCallout">
          <a:avLst>
            <a:gd name="adj1" fmla="val -60651"/>
            <a:gd name="adj2" fmla="val 77569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④生産数</a:t>
          </a:r>
        </a:p>
      </xdr:txBody>
    </xdr:sp>
    <xdr:clientData/>
  </xdr:twoCellAnchor>
  <xdr:twoCellAnchor>
    <xdr:from>
      <xdr:col>31</xdr:col>
      <xdr:colOff>85725</xdr:colOff>
      <xdr:row>53</xdr:row>
      <xdr:rowOff>180975</xdr:rowOff>
    </xdr:from>
    <xdr:to>
      <xdr:col>34</xdr:col>
      <xdr:colOff>219075</xdr:colOff>
      <xdr:row>55</xdr:row>
      <xdr:rowOff>147637</xdr:rowOff>
    </xdr:to>
    <xdr:sp macro="" textlink="">
      <xdr:nvSpPr>
        <xdr:cNvPr id="24" name="吹き出し: 四角形 23">
          <a:extLst>
            <a:ext uri="{FF2B5EF4-FFF2-40B4-BE49-F238E27FC236}">
              <a16:creationId xmlns:a16="http://schemas.microsoft.com/office/drawing/2014/main" id="{F984E012-86ED-46E6-69F6-25BE9D8637E2}"/>
            </a:ext>
          </a:extLst>
        </xdr:cNvPr>
        <xdr:cNvSpPr/>
      </xdr:nvSpPr>
      <xdr:spPr>
        <a:xfrm>
          <a:off x="7467600" y="14368463"/>
          <a:ext cx="847725" cy="347662"/>
        </a:xfrm>
        <a:prstGeom prst="wedgeRectCallout">
          <a:avLst>
            <a:gd name="adj1" fmla="val -60651"/>
            <a:gd name="adj2" fmla="val 77569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⑤不良数</a:t>
          </a:r>
        </a:p>
      </xdr:txBody>
    </xdr:sp>
    <xdr:clientData/>
  </xdr:twoCellAnchor>
  <xdr:twoCellAnchor>
    <xdr:from>
      <xdr:col>17</xdr:col>
      <xdr:colOff>71437</xdr:colOff>
      <xdr:row>62</xdr:row>
      <xdr:rowOff>23814</xdr:rowOff>
    </xdr:from>
    <xdr:to>
      <xdr:col>24</xdr:col>
      <xdr:colOff>52388</xdr:colOff>
      <xdr:row>63</xdr:row>
      <xdr:rowOff>180976</xdr:rowOff>
    </xdr:to>
    <xdr:sp macro="" textlink="">
      <xdr:nvSpPr>
        <xdr:cNvPr id="25" name="吹き出し: 四角形 24">
          <a:extLst>
            <a:ext uri="{FF2B5EF4-FFF2-40B4-BE49-F238E27FC236}">
              <a16:creationId xmlns:a16="http://schemas.microsoft.com/office/drawing/2014/main" id="{600AFE7D-4277-E337-6C13-529219B86AF0}"/>
            </a:ext>
          </a:extLst>
        </xdr:cNvPr>
        <xdr:cNvSpPr/>
      </xdr:nvSpPr>
      <xdr:spPr>
        <a:xfrm>
          <a:off x="4119562" y="15925802"/>
          <a:ext cx="1647826" cy="347662"/>
        </a:xfrm>
        <a:prstGeom prst="wedgeRectCallout">
          <a:avLst>
            <a:gd name="adj1" fmla="val -61775"/>
            <a:gd name="adj2" fmla="val -73116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⑥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時間ごとの進捗状況</a:t>
          </a:r>
        </a:p>
      </xdr:txBody>
    </xdr:sp>
    <xdr:clientData/>
  </xdr:twoCellAnchor>
  <xdr:twoCellAnchor>
    <xdr:from>
      <xdr:col>31</xdr:col>
      <xdr:colOff>104774</xdr:colOff>
      <xdr:row>60</xdr:row>
      <xdr:rowOff>61914</xdr:rowOff>
    </xdr:from>
    <xdr:to>
      <xdr:col>38</xdr:col>
      <xdr:colOff>85725</xdr:colOff>
      <xdr:row>62</xdr:row>
      <xdr:rowOff>28576</xdr:rowOff>
    </xdr:to>
    <xdr:sp macro="" textlink="">
      <xdr:nvSpPr>
        <xdr:cNvPr id="26" name="吹き出し: 四角形 25">
          <a:extLst>
            <a:ext uri="{FF2B5EF4-FFF2-40B4-BE49-F238E27FC236}">
              <a16:creationId xmlns:a16="http://schemas.microsoft.com/office/drawing/2014/main" id="{1D74CB2B-343D-B4BE-DEEA-6C53DC73675D}"/>
            </a:ext>
          </a:extLst>
        </xdr:cNvPr>
        <xdr:cNvSpPr/>
      </xdr:nvSpPr>
      <xdr:spPr>
        <a:xfrm>
          <a:off x="7486649" y="15582902"/>
          <a:ext cx="1647826" cy="347662"/>
        </a:xfrm>
        <a:prstGeom prst="wedgeRectCallout">
          <a:avLst>
            <a:gd name="adj1" fmla="val -61775"/>
            <a:gd name="adj2" fmla="val -73116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⑦稼働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停止要因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198436</xdr:colOff>
      <xdr:row>51</xdr:row>
      <xdr:rowOff>190499</xdr:rowOff>
    </xdr:from>
    <xdr:to>
      <xdr:col>77</xdr:col>
      <xdr:colOff>87311</xdr:colOff>
      <xdr:row>92</xdr:row>
      <xdr:rowOff>189324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A5670BA7-EC5F-5130-2316-2ABDB13AF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6874" y="9905999"/>
          <a:ext cx="14970125" cy="7809325"/>
        </a:xfrm>
        <a:prstGeom prst="rect">
          <a:avLst/>
        </a:prstGeom>
      </xdr:spPr>
    </xdr:pic>
    <xdr:clientData/>
  </xdr:twoCellAnchor>
  <xdr:twoCellAnchor>
    <xdr:from>
      <xdr:col>27</xdr:col>
      <xdr:colOff>57150</xdr:colOff>
      <xdr:row>13</xdr:row>
      <xdr:rowOff>0</xdr:rowOff>
    </xdr:from>
    <xdr:to>
      <xdr:col>27</xdr:col>
      <xdr:colOff>57150</xdr:colOff>
      <xdr:row>14</xdr:row>
      <xdr:rowOff>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F9B9F5EF-BBE1-4950-B11B-DCA43A0986A9}"/>
            </a:ext>
          </a:extLst>
        </xdr:cNvPr>
        <xdr:cNvCxnSpPr/>
      </xdr:nvCxnSpPr>
      <xdr:spPr>
        <a:xfrm>
          <a:off x="6657975" y="2476500"/>
          <a:ext cx="0" cy="190500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oneCell">
    <xdr:from>
      <xdr:col>25</xdr:col>
      <xdr:colOff>47626</xdr:colOff>
      <xdr:row>6</xdr:row>
      <xdr:rowOff>0</xdr:rowOff>
    </xdr:from>
    <xdr:to>
      <xdr:col>28</xdr:col>
      <xdr:colOff>167284</xdr:colOff>
      <xdr:row>10</xdr:row>
      <xdr:rowOff>1680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5906DB2-A0A7-4FE0-B2DF-97D2E8F28D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9375" b="93304" l="3474" r="90323">
                      <a14:foregroundMark x1="12903" y1="54018" x2="12903" y2="54018"/>
                      <a14:foregroundMark x1="23821" y1="51339" x2="23821" y2="51339"/>
                      <a14:foregroundMark x1="31514" y1="49554" x2="31514" y2="49554"/>
                      <a14:foregroundMark x1="43176" y1="50446" x2="43176" y2="50446"/>
                      <a14:foregroundMark x1="23077" y1="41518" x2="40199" y2="41518"/>
                      <a14:foregroundMark x1="38710" y1="60491" x2="10918" y2="57366"/>
                      <a14:foregroundMark x1="10918" y1="57366" x2="9926" y2="43080"/>
                      <a14:foregroundMark x1="12655" y1="40625" x2="50124" y2="40625"/>
                      <a14:foregroundMark x1="50124" y1="40625" x2="56079" y2="55134"/>
                      <a14:foregroundMark x1="56079" y1="55134" x2="32506" y2="61607"/>
                      <a14:foregroundMark x1="32506" y1="61607" x2="15385" y2="62054"/>
                      <a14:foregroundMark x1="15385" y1="62054" x2="3722" y2="50893"/>
                      <a14:foregroundMark x1="3722" y1="50893" x2="10918" y2="38839"/>
                      <a14:foregroundMark x1="10918" y1="38839" x2="15881" y2="38839"/>
                      <a14:foregroundMark x1="55087" y1="39732" x2="56079" y2="54911"/>
                      <a14:foregroundMark x1="56079" y1="54911" x2="37221" y2="63839"/>
                      <a14:foregroundMark x1="37221" y1="63839" x2="20347" y2="63839"/>
                      <a14:foregroundMark x1="20347" y1="63839" x2="5955" y2="60268"/>
                      <a14:foregroundMark x1="5955" y1="60268" x2="46402" y2="52902"/>
                      <a14:foregroundMark x1="46402" y1="52902" x2="21836" y2="46875"/>
                      <a14:foregroundMark x1="21836" y1="46875" x2="34243" y2="45759"/>
                      <a14:foregroundMark x1="34243" y1="45759" x2="36476" y2="46205"/>
                      <a14:foregroundMark x1="52357" y1="62500" x2="52357" y2="62500"/>
                      <a14:foregroundMark x1="54591" y1="60045" x2="56079" y2="55357"/>
                      <a14:foregroundMark x1="58065" y1="40179" x2="57072" y2="56027"/>
                      <a14:foregroundMark x1="57072" y1="56027" x2="48139" y2="64286"/>
                      <a14:foregroundMark x1="18859" y1="52455" x2="28784" y2="52679"/>
                      <a14:foregroundMark x1="45906" y1="44866" x2="45906" y2="43080"/>
                      <a14:foregroundMark x1="18114" y1="50446" x2="17122" y2="52009"/>
                      <a14:foregroundMark x1="17122" y1="49330" x2="16625" y2="47098"/>
                      <a14:foregroundMark x1="8933" y1="44196" x2="55831" y2="61607"/>
                      <a14:foregroundMark x1="22084" y1="78125" x2="22084" y2="78125"/>
                      <a14:foregroundMark x1="22084" y1="75223" x2="20347" y2="85268"/>
                      <a14:foregroundMark x1="20596" y1="92188" x2="44665" y2="92857"/>
                      <a14:foregroundMark x1="50124" y1="92857" x2="85112" y2="93304"/>
                      <a14:foregroundMark x1="87841" y1="92188" x2="90323" y2="31920"/>
                      <a14:foregroundMark x1="41935" y1="45759" x2="43672" y2="51116"/>
                      <a14:foregroundMark x1="50868" y1="46429" x2="47643" y2="5089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48401" y="1143000"/>
          <a:ext cx="719733" cy="763680"/>
        </a:xfrm>
        <a:prstGeom prst="rect">
          <a:avLst/>
        </a:prstGeom>
      </xdr:spPr>
    </xdr:pic>
    <xdr:clientData/>
  </xdr:twoCellAnchor>
  <xdr:twoCellAnchor>
    <xdr:from>
      <xdr:col>25</xdr:col>
      <xdr:colOff>47625</xdr:colOff>
      <xdr:row>4</xdr:row>
      <xdr:rowOff>1</xdr:rowOff>
    </xdr:from>
    <xdr:to>
      <xdr:col>30</xdr:col>
      <xdr:colOff>57150</xdr:colOff>
      <xdr:row>6</xdr:row>
      <xdr:rowOff>1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48CF04B7-2101-429E-8B98-B2F89E38926E}"/>
            </a:ext>
          </a:extLst>
        </xdr:cNvPr>
        <xdr:cNvSpPr txBox="1"/>
      </xdr:nvSpPr>
      <xdr:spPr>
        <a:xfrm>
          <a:off x="6248400" y="762001"/>
          <a:ext cx="10096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Stop_log</a:t>
          </a:r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57150</xdr:colOff>
      <xdr:row>14</xdr:row>
      <xdr:rowOff>0</xdr:rowOff>
    </xdr:from>
    <xdr:to>
      <xdr:col>30</xdr:col>
      <xdr:colOff>57150</xdr:colOff>
      <xdr:row>18</xdr:row>
      <xdr:rowOff>0</xdr:rowOff>
    </xdr:to>
    <xdr:sp macro="" textlink="">
      <xdr:nvSpPr>
        <xdr:cNvPr id="7" name="フローチャート: 磁気ディスク 6">
          <a:extLst>
            <a:ext uri="{FF2B5EF4-FFF2-40B4-BE49-F238E27FC236}">
              <a16:creationId xmlns:a16="http://schemas.microsoft.com/office/drawing/2014/main" id="{B9641719-A245-42BB-8C63-AAECD601B7AB}"/>
            </a:ext>
          </a:extLst>
        </xdr:cNvPr>
        <xdr:cNvSpPr/>
      </xdr:nvSpPr>
      <xdr:spPr>
        <a:xfrm>
          <a:off x="6057900" y="2667000"/>
          <a:ext cx="1200150" cy="762000"/>
        </a:xfrm>
        <a:prstGeom prst="flowChartMagneticDisk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STOP_LOG</a:t>
          </a:r>
          <a:endParaRPr kumimoji="1" lang="ja-JP" altLang="en-US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33</xdr:col>
      <xdr:colOff>67799</xdr:colOff>
      <xdr:row>6</xdr:row>
      <xdr:rowOff>1680</xdr:rowOff>
    </xdr:from>
    <xdr:to>
      <xdr:col>36</xdr:col>
      <xdr:colOff>187457</xdr:colOff>
      <xdr:row>10</xdr:row>
      <xdr:rowOff>1679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972C8A9A-3912-429A-9010-4027ACC09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9375" b="93304" l="3474" r="90323">
                      <a14:foregroundMark x1="12903" y1="54018" x2="12903" y2="54018"/>
                      <a14:foregroundMark x1="23821" y1="51339" x2="23821" y2="51339"/>
                      <a14:foregroundMark x1="31514" y1="49554" x2="31514" y2="49554"/>
                      <a14:foregroundMark x1="43176" y1="50446" x2="43176" y2="50446"/>
                      <a14:foregroundMark x1="23077" y1="41518" x2="40199" y2="41518"/>
                      <a14:foregroundMark x1="38710" y1="60491" x2="10918" y2="57366"/>
                      <a14:foregroundMark x1="10918" y1="57366" x2="9926" y2="43080"/>
                      <a14:foregroundMark x1="12655" y1="40625" x2="50124" y2="40625"/>
                      <a14:foregroundMark x1="50124" y1="40625" x2="56079" y2="55134"/>
                      <a14:foregroundMark x1="56079" y1="55134" x2="32506" y2="61607"/>
                      <a14:foregroundMark x1="32506" y1="61607" x2="15385" y2="62054"/>
                      <a14:foregroundMark x1="15385" y1="62054" x2="3722" y2="50893"/>
                      <a14:foregroundMark x1="3722" y1="50893" x2="10918" y2="38839"/>
                      <a14:foregroundMark x1="10918" y1="38839" x2="15881" y2="38839"/>
                      <a14:foregroundMark x1="55087" y1="39732" x2="56079" y2="54911"/>
                      <a14:foregroundMark x1="56079" y1="54911" x2="37221" y2="63839"/>
                      <a14:foregroundMark x1="37221" y1="63839" x2="20347" y2="63839"/>
                      <a14:foregroundMark x1="20347" y1="63839" x2="5955" y2="60268"/>
                      <a14:foregroundMark x1="5955" y1="60268" x2="46402" y2="52902"/>
                      <a14:foregroundMark x1="46402" y1="52902" x2="21836" y2="46875"/>
                      <a14:foregroundMark x1="21836" y1="46875" x2="34243" y2="45759"/>
                      <a14:foregroundMark x1="34243" y1="45759" x2="36476" y2="46205"/>
                      <a14:foregroundMark x1="52357" y1="62500" x2="52357" y2="62500"/>
                      <a14:foregroundMark x1="54591" y1="60045" x2="56079" y2="55357"/>
                      <a14:foregroundMark x1="58065" y1="40179" x2="57072" y2="56027"/>
                      <a14:foregroundMark x1="57072" y1="56027" x2="48139" y2="64286"/>
                      <a14:foregroundMark x1="18859" y1="52455" x2="28784" y2="52679"/>
                      <a14:foregroundMark x1="45906" y1="44866" x2="45906" y2="43080"/>
                      <a14:foregroundMark x1="18114" y1="50446" x2="17122" y2="52009"/>
                      <a14:foregroundMark x1="17122" y1="49330" x2="16625" y2="47098"/>
                      <a14:foregroundMark x1="8933" y1="44196" x2="55831" y2="61607"/>
                      <a14:foregroundMark x1="22084" y1="78125" x2="22084" y2="78125"/>
                      <a14:foregroundMark x1="22084" y1="75223" x2="20347" y2="85268"/>
                      <a14:foregroundMark x1="20596" y1="92188" x2="44665" y2="92857"/>
                      <a14:foregroundMark x1="50124" y1="92857" x2="85112" y2="93304"/>
                      <a14:foregroundMark x1="87841" y1="92188" x2="90323" y2="31920"/>
                      <a14:foregroundMark x1="41935" y1="45759" x2="43672" y2="51116"/>
                      <a14:foregroundMark x1="50868" y1="46429" x2="47643" y2="5089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869274" y="1144680"/>
          <a:ext cx="719733" cy="761999"/>
        </a:xfrm>
        <a:prstGeom prst="rect">
          <a:avLst/>
        </a:prstGeom>
      </xdr:spPr>
    </xdr:pic>
    <xdr:clientData/>
  </xdr:twoCellAnchor>
  <xdr:twoCellAnchor>
    <xdr:from>
      <xdr:col>33</xdr:col>
      <xdr:colOff>67798</xdr:colOff>
      <xdr:row>4</xdr:row>
      <xdr:rowOff>0</xdr:rowOff>
    </xdr:from>
    <xdr:to>
      <xdr:col>38</xdr:col>
      <xdr:colOff>79004</xdr:colOff>
      <xdr:row>6</xdr:row>
      <xdr:rowOff>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E2D14BB3-8E16-4EEA-98F7-BB9947082C38}"/>
            </a:ext>
          </a:extLst>
        </xdr:cNvPr>
        <xdr:cNvSpPr txBox="1"/>
      </xdr:nvSpPr>
      <xdr:spPr>
        <a:xfrm>
          <a:off x="11869273" y="762000"/>
          <a:ext cx="1011331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Plod_log</a:t>
          </a:r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57150</xdr:colOff>
      <xdr:row>11</xdr:row>
      <xdr:rowOff>0</xdr:rowOff>
    </xdr:from>
    <xdr:to>
      <xdr:col>30</xdr:col>
      <xdr:colOff>57150</xdr:colOff>
      <xdr:row>13</xdr:row>
      <xdr:rowOff>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1344FEEA-F8C4-4748-A24E-8F88DEAACF2B}"/>
            </a:ext>
          </a:extLst>
        </xdr:cNvPr>
        <xdr:cNvSpPr/>
      </xdr:nvSpPr>
      <xdr:spPr>
        <a:xfrm>
          <a:off x="6057900" y="2095500"/>
          <a:ext cx="1200150" cy="3810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TB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化</a:t>
          </a:r>
        </a:p>
      </xdr:txBody>
    </xdr:sp>
    <xdr:clientData/>
  </xdr:twoCellAnchor>
  <xdr:twoCellAnchor>
    <xdr:from>
      <xdr:col>27</xdr:col>
      <xdr:colOff>57150</xdr:colOff>
      <xdr:row>10</xdr:row>
      <xdr:rowOff>0</xdr:rowOff>
    </xdr:from>
    <xdr:to>
      <xdr:col>27</xdr:col>
      <xdr:colOff>57150</xdr:colOff>
      <xdr:row>11</xdr:row>
      <xdr:rowOff>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277A30FD-12C6-4AEA-B627-6EF70D44CE80}"/>
            </a:ext>
          </a:extLst>
        </xdr:cNvPr>
        <xdr:cNvCxnSpPr>
          <a:endCxn id="10" idx="0"/>
        </xdr:cNvCxnSpPr>
      </xdr:nvCxnSpPr>
      <xdr:spPr>
        <a:xfrm>
          <a:off x="6657975" y="1905000"/>
          <a:ext cx="0" cy="190500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35</xdr:col>
      <xdr:colOff>79004</xdr:colOff>
      <xdr:row>13</xdr:row>
      <xdr:rowOff>1679</xdr:rowOff>
    </xdr:from>
    <xdr:to>
      <xdr:col>35</xdr:col>
      <xdr:colOff>79004</xdr:colOff>
      <xdr:row>14</xdr:row>
      <xdr:rowOff>1680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C06F8E54-B44F-4CE0-A610-23166A427A72}"/>
            </a:ext>
          </a:extLst>
        </xdr:cNvPr>
        <xdr:cNvCxnSpPr/>
      </xdr:nvCxnSpPr>
      <xdr:spPr>
        <a:xfrm>
          <a:off x="12280529" y="2478179"/>
          <a:ext cx="0" cy="190501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32</xdr:col>
      <xdr:colOff>79004</xdr:colOff>
      <xdr:row>14</xdr:row>
      <xdr:rowOff>1680</xdr:rowOff>
    </xdr:from>
    <xdr:to>
      <xdr:col>38</xdr:col>
      <xdr:colOff>79005</xdr:colOff>
      <xdr:row>18</xdr:row>
      <xdr:rowOff>1680</xdr:rowOff>
    </xdr:to>
    <xdr:sp macro="" textlink="">
      <xdr:nvSpPr>
        <xdr:cNvPr id="13" name="フローチャート: 磁気ディスク 12">
          <a:extLst>
            <a:ext uri="{FF2B5EF4-FFF2-40B4-BE49-F238E27FC236}">
              <a16:creationId xmlns:a16="http://schemas.microsoft.com/office/drawing/2014/main" id="{0E9D84E3-2FFA-4275-B8BB-277C3B5276AF}"/>
            </a:ext>
          </a:extLst>
        </xdr:cNvPr>
        <xdr:cNvSpPr/>
      </xdr:nvSpPr>
      <xdr:spPr>
        <a:xfrm>
          <a:off x="11680454" y="2668680"/>
          <a:ext cx="1200151" cy="762000"/>
        </a:xfrm>
        <a:prstGeom prst="flowChartMagneticDisk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PROD_LOG</a:t>
          </a:r>
          <a:endParaRPr kumimoji="1" lang="ja-JP" altLang="en-US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32</xdr:col>
      <xdr:colOff>79004</xdr:colOff>
      <xdr:row>11</xdr:row>
      <xdr:rowOff>1680</xdr:rowOff>
    </xdr:from>
    <xdr:to>
      <xdr:col>38</xdr:col>
      <xdr:colOff>79005</xdr:colOff>
      <xdr:row>13</xdr:row>
      <xdr:rowOff>1679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F28B3DFD-D386-4E29-8247-A57B57ED9F30}"/>
            </a:ext>
          </a:extLst>
        </xdr:cNvPr>
        <xdr:cNvSpPr/>
      </xdr:nvSpPr>
      <xdr:spPr>
        <a:xfrm>
          <a:off x="11680454" y="2097180"/>
          <a:ext cx="1200151" cy="380999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en-US" altLang="ja-JP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TB</a:t>
          </a:r>
          <a:r>
            <a:rPr kumimoji="1" lang="ja-JP" altLang="en-US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化</a:t>
          </a:r>
        </a:p>
      </xdr:txBody>
    </xdr:sp>
    <xdr:clientData/>
  </xdr:twoCellAnchor>
  <xdr:twoCellAnchor>
    <xdr:from>
      <xdr:col>35</xdr:col>
      <xdr:colOff>79004</xdr:colOff>
      <xdr:row>10</xdr:row>
      <xdr:rowOff>1680</xdr:rowOff>
    </xdr:from>
    <xdr:to>
      <xdr:col>35</xdr:col>
      <xdr:colOff>79004</xdr:colOff>
      <xdr:row>11</xdr:row>
      <xdr:rowOff>1680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652C269B-577A-4424-958D-7888E7DDFC05}"/>
            </a:ext>
          </a:extLst>
        </xdr:cNvPr>
        <xdr:cNvCxnSpPr>
          <a:endCxn id="14" idx="0"/>
        </xdr:cNvCxnSpPr>
      </xdr:nvCxnSpPr>
      <xdr:spPr>
        <a:xfrm>
          <a:off x="12280529" y="1906680"/>
          <a:ext cx="0" cy="190500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0</xdr:colOff>
      <xdr:row>6</xdr:row>
      <xdr:rowOff>0</xdr:rowOff>
    </xdr:from>
    <xdr:to>
      <xdr:col>8</xdr:col>
      <xdr:colOff>192884</xdr:colOff>
      <xdr:row>9</xdr:row>
      <xdr:rowOff>190400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692C66E4-B52E-49A1-B8F5-175F69B1A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7872" b="94752" l="5294" r="90000">
                      <a14:foregroundMark x1="68235" y1="25073" x2="68824" y2="22157"/>
                      <a14:foregroundMark x1="57353" y1="41399" x2="57353" y2="41399"/>
                      <a14:foregroundMark x1="73824" y1="53061" x2="73824" y2="53061"/>
                      <a14:foregroundMark x1="75000" y1="64431" x2="75000" y2="64431"/>
                      <a14:foregroundMark x1="5882" y1="76093" x2="5882" y2="76093"/>
                      <a14:foregroundMark x1="26176" y1="77259" x2="26176" y2="77259"/>
                      <a14:foregroundMark x1="24706" y1="8163" x2="24706" y2="8163"/>
                      <a14:foregroundMark x1="24706" y1="94752" x2="24706" y2="94752"/>
                      <a14:foregroundMark x1="73824" y1="87172" x2="73824" y2="87172"/>
                      <a14:foregroundMark x1="72941" y1="75510" x2="72941" y2="75510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000125" y="1143000"/>
          <a:ext cx="792959" cy="761900"/>
        </a:xfrm>
        <a:prstGeom prst="rect">
          <a:avLst/>
        </a:prstGeom>
      </xdr:spPr>
    </xdr:pic>
    <xdr:clientData/>
  </xdr:twoCellAnchor>
  <xdr:twoCellAnchor>
    <xdr:from>
      <xdr:col>4</xdr:col>
      <xdr:colOff>190500</xdr:colOff>
      <xdr:row>4</xdr:row>
      <xdr:rowOff>0</xdr:rowOff>
    </xdr:from>
    <xdr:to>
      <xdr:col>11</xdr:col>
      <xdr:colOff>0</xdr:colOff>
      <xdr:row>6</xdr:row>
      <xdr:rowOff>0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FBBA25E3-26A8-48DB-8723-FD9B7DF68F96}"/>
            </a:ext>
          </a:extLst>
        </xdr:cNvPr>
        <xdr:cNvSpPr txBox="1"/>
      </xdr:nvSpPr>
      <xdr:spPr>
        <a:xfrm>
          <a:off x="990600" y="762000"/>
          <a:ext cx="1209675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ライン一覧マスタ</a:t>
          </a:r>
        </a:p>
      </xdr:txBody>
    </xdr:sp>
    <xdr:clientData/>
  </xdr:twoCellAnchor>
  <xdr:twoCellAnchor>
    <xdr:from>
      <xdr:col>7</xdr:col>
      <xdr:colOff>0</xdr:colOff>
      <xdr:row>13</xdr:row>
      <xdr:rowOff>0</xdr:rowOff>
    </xdr:from>
    <xdr:to>
      <xdr:col>7</xdr:col>
      <xdr:colOff>0</xdr:colOff>
      <xdr:row>14</xdr:row>
      <xdr:rowOff>0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5973DA97-1FDC-4710-8C08-435398D3CE83}"/>
            </a:ext>
          </a:extLst>
        </xdr:cNvPr>
        <xdr:cNvCxnSpPr/>
      </xdr:nvCxnSpPr>
      <xdr:spPr>
        <a:xfrm>
          <a:off x="1400175" y="2476500"/>
          <a:ext cx="0" cy="190500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14</xdr:row>
      <xdr:rowOff>0</xdr:rowOff>
    </xdr:from>
    <xdr:to>
      <xdr:col>10</xdr:col>
      <xdr:colOff>1</xdr:colOff>
      <xdr:row>18</xdr:row>
      <xdr:rowOff>0</xdr:rowOff>
    </xdr:to>
    <xdr:sp macro="" textlink="">
      <xdr:nvSpPr>
        <xdr:cNvPr id="19" name="フローチャート: 磁気ディスク 18">
          <a:extLst>
            <a:ext uri="{FF2B5EF4-FFF2-40B4-BE49-F238E27FC236}">
              <a16:creationId xmlns:a16="http://schemas.microsoft.com/office/drawing/2014/main" id="{2A571F93-764F-41DA-98B6-6C8A6CF4AE24}"/>
            </a:ext>
          </a:extLst>
        </xdr:cNvPr>
        <xdr:cNvSpPr/>
      </xdr:nvSpPr>
      <xdr:spPr>
        <a:xfrm>
          <a:off x="800100" y="2667000"/>
          <a:ext cx="1200151" cy="762000"/>
        </a:xfrm>
        <a:prstGeom prst="flowChartMagneticDisk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mst_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ライン</a:t>
          </a:r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  <a:endParaRPr kumimoji="1" lang="ja-JP" altLang="en-US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0</xdr:colOff>
      <xdr:row>11</xdr:row>
      <xdr:rowOff>0</xdr:rowOff>
    </xdr:from>
    <xdr:to>
      <xdr:col>10</xdr:col>
      <xdr:colOff>1</xdr:colOff>
      <xdr:row>13</xdr:row>
      <xdr:rowOff>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F735CA2F-58E8-411C-B375-F814D6204276}"/>
            </a:ext>
          </a:extLst>
        </xdr:cNvPr>
        <xdr:cNvSpPr/>
      </xdr:nvSpPr>
      <xdr:spPr>
        <a:xfrm>
          <a:off x="800100" y="2095500"/>
          <a:ext cx="1200151" cy="3810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取り込み</a:t>
          </a:r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7</xdr:col>
      <xdr:colOff>0</xdr:colOff>
      <xdr:row>11</xdr:row>
      <xdr:rowOff>0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8D753597-530A-4922-A273-A1ED8DF57A06}"/>
            </a:ext>
          </a:extLst>
        </xdr:cNvPr>
        <xdr:cNvCxnSpPr>
          <a:endCxn id="20" idx="0"/>
        </xdr:cNvCxnSpPr>
      </xdr:nvCxnSpPr>
      <xdr:spPr>
        <a:xfrm>
          <a:off x="1400175" y="1905000"/>
          <a:ext cx="0" cy="190500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14</xdr:col>
      <xdr:colOff>95253</xdr:colOff>
      <xdr:row>6</xdr:row>
      <xdr:rowOff>0</xdr:rowOff>
    </xdr:from>
    <xdr:ext cx="798002" cy="805043"/>
    <xdr:pic>
      <xdr:nvPicPr>
        <xdr:cNvPr id="22" name="図 21">
          <a:extLst>
            <a:ext uri="{FF2B5EF4-FFF2-40B4-BE49-F238E27FC236}">
              <a16:creationId xmlns:a16="http://schemas.microsoft.com/office/drawing/2014/main" id="{F72A89B4-6B3F-449F-9D20-FF9F75D7F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7872" b="94752" l="5294" r="90000">
                      <a14:foregroundMark x1="68235" y1="25073" x2="68824" y2="22157"/>
                      <a14:foregroundMark x1="57353" y1="41399" x2="57353" y2="41399"/>
                      <a14:foregroundMark x1="73824" y1="53061" x2="73824" y2="53061"/>
                      <a14:foregroundMark x1="75000" y1="64431" x2="75000" y2="64431"/>
                      <a14:foregroundMark x1="5882" y1="76093" x2="5882" y2="76093"/>
                      <a14:foregroundMark x1="26176" y1="77259" x2="26176" y2="77259"/>
                      <a14:foregroundMark x1="24706" y1="8163" x2="24706" y2="8163"/>
                      <a14:foregroundMark x1="24706" y1="94752" x2="24706" y2="94752"/>
                      <a14:foregroundMark x1="73824" y1="87172" x2="73824" y2="87172"/>
                      <a14:foregroundMark x1="72941" y1="75510" x2="72941" y2="75510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919135" y="1143000"/>
          <a:ext cx="798002" cy="805043"/>
        </a:xfrm>
        <a:prstGeom prst="rect">
          <a:avLst/>
        </a:prstGeom>
      </xdr:spPr>
    </xdr:pic>
    <xdr:clientData/>
  </xdr:oneCellAnchor>
  <xdr:twoCellAnchor>
    <xdr:from>
      <xdr:col>14</xdr:col>
      <xdr:colOff>84048</xdr:colOff>
      <xdr:row>4</xdr:row>
      <xdr:rowOff>0</xdr:rowOff>
    </xdr:from>
    <xdr:to>
      <xdr:col>20</xdr:col>
      <xdr:colOff>95253</xdr:colOff>
      <xdr:row>6</xdr:row>
      <xdr:rowOff>0</xdr:rowOff>
    </xdr:to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D5244FE8-6761-44C3-952D-64101DC0E7BA}"/>
            </a:ext>
          </a:extLst>
        </xdr:cNvPr>
        <xdr:cNvSpPr txBox="1"/>
      </xdr:nvSpPr>
      <xdr:spPr>
        <a:xfrm>
          <a:off x="2907930" y="762000"/>
          <a:ext cx="1221441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停止要因マスタ</a:t>
          </a:r>
        </a:p>
      </xdr:txBody>
    </xdr:sp>
    <xdr:clientData/>
  </xdr:twoCellAnchor>
  <xdr:twoCellAnchor>
    <xdr:from>
      <xdr:col>16</xdr:col>
      <xdr:colOff>95253</xdr:colOff>
      <xdr:row>13</xdr:row>
      <xdr:rowOff>0</xdr:rowOff>
    </xdr:from>
    <xdr:to>
      <xdr:col>16</xdr:col>
      <xdr:colOff>95253</xdr:colOff>
      <xdr:row>14</xdr:row>
      <xdr:rowOff>0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C83B6938-1A1A-48E2-8194-9E5969868C4D}"/>
            </a:ext>
          </a:extLst>
        </xdr:cNvPr>
        <xdr:cNvCxnSpPr/>
      </xdr:nvCxnSpPr>
      <xdr:spPr>
        <a:xfrm>
          <a:off x="3322547" y="2476500"/>
          <a:ext cx="0" cy="190500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95254</xdr:colOff>
      <xdr:row>14</xdr:row>
      <xdr:rowOff>0</xdr:rowOff>
    </xdr:from>
    <xdr:to>
      <xdr:col>19</xdr:col>
      <xdr:colOff>95254</xdr:colOff>
      <xdr:row>18</xdr:row>
      <xdr:rowOff>0</xdr:rowOff>
    </xdr:to>
    <xdr:sp macro="" textlink="">
      <xdr:nvSpPr>
        <xdr:cNvPr id="25" name="フローチャート: 磁気ディスク 24">
          <a:extLst>
            <a:ext uri="{FF2B5EF4-FFF2-40B4-BE49-F238E27FC236}">
              <a16:creationId xmlns:a16="http://schemas.microsoft.com/office/drawing/2014/main" id="{3D0E1A75-6B3F-46FE-92C8-35FB6EA21D62}"/>
            </a:ext>
          </a:extLst>
        </xdr:cNvPr>
        <xdr:cNvSpPr/>
      </xdr:nvSpPr>
      <xdr:spPr>
        <a:xfrm>
          <a:off x="2717430" y="2667000"/>
          <a:ext cx="1210236" cy="762000"/>
        </a:xfrm>
        <a:prstGeom prst="flowChartMagneticDisk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mst_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停止要因</a:t>
          </a:r>
        </a:p>
      </xdr:txBody>
    </xdr:sp>
    <xdr:clientData/>
  </xdr:twoCellAnchor>
  <xdr:twoCellAnchor>
    <xdr:from>
      <xdr:col>13</xdr:col>
      <xdr:colOff>95254</xdr:colOff>
      <xdr:row>11</xdr:row>
      <xdr:rowOff>0</xdr:rowOff>
    </xdr:from>
    <xdr:to>
      <xdr:col>19</xdr:col>
      <xdr:colOff>95254</xdr:colOff>
      <xdr:row>13</xdr:row>
      <xdr:rowOff>0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DEB5D6A4-A748-442B-8F70-73EA2681A4D4}"/>
            </a:ext>
          </a:extLst>
        </xdr:cNvPr>
        <xdr:cNvSpPr/>
      </xdr:nvSpPr>
      <xdr:spPr>
        <a:xfrm>
          <a:off x="2717430" y="2095500"/>
          <a:ext cx="1210236" cy="3810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取り込み</a:t>
          </a:r>
        </a:p>
      </xdr:txBody>
    </xdr:sp>
    <xdr:clientData/>
  </xdr:twoCellAnchor>
  <xdr:twoCellAnchor>
    <xdr:from>
      <xdr:col>16</xdr:col>
      <xdr:colOff>95253</xdr:colOff>
      <xdr:row>10</xdr:row>
      <xdr:rowOff>0</xdr:rowOff>
    </xdr:from>
    <xdr:to>
      <xdr:col>16</xdr:col>
      <xdr:colOff>95253</xdr:colOff>
      <xdr:row>11</xdr:row>
      <xdr:rowOff>0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9FF23B75-C001-427A-A3C3-46A748D7EF66}"/>
            </a:ext>
          </a:extLst>
        </xdr:cNvPr>
        <xdr:cNvCxnSpPr>
          <a:endCxn id="26" idx="0"/>
        </xdr:cNvCxnSpPr>
      </xdr:nvCxnSpPr>
      <xdr:spPr>
        <a:xfrm>
          <a:off x="3322547" y="1905000"/>
          <a:ext cx="0" cy="190500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200024</xdr:colOff>
      <xdr:row>3</xdr:row>
      <xdr:rowOff>1</xdr:rowOff>
    </xdr:from>
    <xdr:to>
      <xdr:col>22</xdr:col>
      <xdr:colOff>0</xdr:colOff>
      <xdr:row>4</xdr:row>
      <xdr:rowOff>0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84CD1E27-49C9-44B8-B0BF-6750156BD9AF}"/>
            </a:ext>
          </a:extLst>
        </xdr:cNvPr>
        <xdr:cNvSpPr/>
      </xdr:nvSpPr>
      <xdr:spPr>
        <a:xfrm>
          <a:off x="603436" y="571501"/>
          <a:ext cx="3834093" cy="190499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１．マスタ取り込み</a:t>
          </a:r>
        </a:p>
      </xdr:txBody>
    </xdr:sp>
    <xdr:clientData/>
  </xdr:twoCellAnchor>
  <xdr:twoCellAnchor>
    <xdr:from>
      <xdr:col>23</xdr:col>
      <xdr:colOff>0</xdr:colOff>
      <xdr:row>3</xdr:row>
      <xdr:rowOff>1</xdr:rowOff>
    </xdr:from>
    <xdr:to>
      <xdr:col>31</xdr:col>
      <xdr:colOff>0</xdr:colOff>
      <xdr:row>4</xdr:row>
      <xdr:rowOff>0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61B55296-A3B8-44BA-92FB-B02E8D1B4C25}"/>
            </a:ext>
          </a:extLst>
        </xdr:cNvPr>
        <xdr:cNvSpPr/>
      </xdr:nvSpPr>
      <xdr:spPr>
        <a:xfrm>
          <a:off x="4639235" y="571501"/>
          <a:ext cx="1613647" cy="190499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２．</a:t>
          </a:r>
          <a:r>
            <a:rPr kumimoji="1" lang="en-US" altLang="ja-JP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Stop_log</a:t>
          </a:r>
          <a:r>
            <a:rPr kumimoji="1" lang="ja-JP" altLang="en-US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作成</a:t>
          </a:r>
        </a:p>
      </xdr:txBody>
    </xdr:sp>
    <xdr:clientData/>
  </xdr:twoCellAnchor>
  <xdr:twoCellAnchor editAs="oneCell">
    <xdr:from>
      <xdr:col>2</xdr:col>
      <xdr:colOff>123264</xdr:colOff>
      <xdr:row>18</xdr:row>
      <xdr:rowOff>122144</xdr:rowOff>
    </xdr:from>
    <xdr:to>
      <xdr:col>12</xdr:col>
      <xdr:colOff>158235</xdr:colOff>
      <xdr:row>24</xdr:row>
      <xdr:rowOff>110938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EA965B8B-D931-4157-BF3A-0A9B27076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23314" y="3551144"/>
          <a:ext cx="2035221" cy="1131794"/>
        </a:xfrm>
        <a:prstGeom prst="rect">
          <a:avLst/>
        </a:prstGeom>
      </xdr:spPr>
    </xdr:pic>
    <xdr:clientData/>
  </xdr:twoCellAnchor>
  <xdr:twoCellAnchor editAs="oneCell">
    <xdr:from>
      <xdr:col>13</xdr:col>
      <xdr:colOff>11206</xdr:colOff>
      <xdr:row>18</xdr:row>
      <xdr:rowOff>100853</xdr:rowOff>
    </xdr:from>
    <xdr:to>
      <xdr:col>20</xdr:col>
      <xdr:colOff>153287</xdr:colOff>
      <xdr:row>27</xdr:row>
      <xdr:rowOff>168088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34D15B82-24CA-4696-8848-FD0F220FD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611531" y="3529853"/>
          <a:ext cx="1542256" cy="1781735"/>
        </a:xfrm>
        <a:prstGeom prst="rect">
          <a:avLst/>
        </a:prstGeom>
      </xdr:spPr>
    </xdr:pic>
    <xdr:clientData/>
  </xdr:twoCellAnchor>
  <xdr:twoCellAnchor>
    <xdr:from>
      <xdr:col>5</xdr:col>
      <xdr:colOff>156883</xdr:colOff>
      <xdr:row>13</xdr:row>
      <xdr:rowOff>134472</xdr:rowOff>
    </xdr:from>
    <xdr:to>
      <xdr:col>8</xdr:col>
      <xdr:colOff>22412</xdr:colOff>
      <xdr:row>15</xdr:row>
      <xdr:rowOff>145677</xdr:rowOff>
    </xdr:to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39770F43-4560-47C2-971E-2B11DA9414F8}"/>
            </a:ext>
          </a:extLst>
        </xdr:cNvPr>
        <xdr:cNvSpPr txBox="1"/>
      </xdr:nvSpPr>
      <xdr:spPr>
        <a:xfrm>
          <a:off x="1157008" y="2610972"/>
          <a:ext cx="465604" cy="3922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M1</a:t>
          </a:r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78442</xdr:colOff>
      <xdr:row>13</xdr:row>
      <xdr:rowOff>134472</xdr:rowOff>
    </xdr:from>
    <xdr:to>
      <xdr:col>17</xdr:col>
      <xdr:colOff>145677</xdr:colOff>
      <xdr:row>15</xdr:row>
      <xdr:rowOff>145677</xdr:rowOff>
    </xdr:to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C1613CC6-1E44-463D-A9E0-75E3E9BD4490}"/>
            </a:ext>
          </a:extLst>
        </xdr:cNvPr>
        <xdr:cNvSpPr txBox="1"/>
      </xdr:nvSpPr>
      <xdr:spPr>
        <a:xfrm>
          <a:off x="3104030" y="2610972"/>
          <a:ext cx="470647" cy="3922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M2</a:t>
          </a:r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123265</xdr:colOff>
      <xdr:row>32</xdr:row>
      <xdr:rowOff>78441</xdr:rowOff>
    </xdr:from>
    <xdr:to>
      <xdr:col>11</xdr:col>
      <xdr:colOff>123265</xdr:colOff>
      <xdr:row>36</xdr:row>
      <xdr:rowOff>78441</xdr:rowOff>
    </xdr:to>
    <xdr:sp macro="" textlink="">
      <xdr:nvSpPr>
        <xdr:cNvPr id="36" name="フローチャート: 磁気ディスク 35">
          <a:extLst>
            <a:ext uri="{FF2B5EF4-FFF2-40B4-BE49-F238E27FC236}">
              <a16:creationId xmlns:a16="http://schemas.microsoft.com/office/drawing/2014/main" id="{32D0F653-EA34-472C-BCA8-77CB0C836629}"/>
            </a:ext>
          </a:extLst>
        </xdr:cNvPr>
        <xdr:cNvSpPr/>
      </xdr:nvSpPr>
      <xdr:spPr>
        <a:xfrm>
          <a:off x="1123390" y="6174441"/>
          <a:ext cx="1200150" cy="762000"/>
        </a:xfrm>
        <a:prstGeom prst="flowChartMagneticDisk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STOP_LOG</a:t>
          </a:r>
          <a:endParaRPr kumimoji="1" lang="ja-JP" altLang="en-US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145676</xdr:colOff>
      <xdr:row>32</xdr:row>
      <xdr:rowOff>11207</xdr:rowOff>
    </xdr:from>
    <xdr:to>
      <xdr:col>10</xdr:col>
      <xdr:colOff>11205</xdr:colOff>
      <xdr:row>34</xdr:row>
      <xdr:rowOff>22412</xdr:rowOff>
    </xdr:to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E8A10B0A-1C79-4A6E-BFA6-D1289752220D}"/>
            </a:ext>
          </a:extLst>
        </xdr:cNvPr>
        <xdr:cNvSpPr txBox="1"/>
      </xdr:nvSpPr>
      <xdr:spPr>
        <a:xfrm>
          <a:off x="1545851" y="6107207"/>
          <a:ext cx="465604" cy="3922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T1</a:t>
          </a:r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112059</xdr:colOff>
      <xdr:row>32</xdr:row>
      <xdr:rowOff>67234</xdr:rowOff>
    </xdr:from>
    <xdr:to>
      <xdr:col>24</xdr:col>
      <xdr:colOff>112061</xdr:colOff>
      <xdr:row>36</xdr:row>
      <xdr:rowOff>67234</xdr:rowOff>
    </xdr:to>
    <xdr:sp macro="" textlink="">
      <xdr:nvSpPr>
        <xdr:cNvPr id="38" name="フローチャート: 磁気ディスク 37">
          <a:extLst>
            <a:ext uri="{FF2B5EF4-FFF2-40B4-BE49-F238E27FC236}">
              <a16:creationId xmlns:a16="http://schemas.microsoft.com/office/drawing/2014/main" id="{3D8BCE20-7716-4432-9913-E50DDC0F3392}"/>
            </a:ext>
          </a:extLst>
        </xdr:cNvPr>
        <xdr:cNvSpPr/>
      </xdr:nvSpPr>
      <xdr:spPr>
        <a:xfrm>
          <a:off x="3683934" y="6163234"/>
          <a:ext cx="1190627" cy="762000"/>
        </a:xfrm>
        <a:prstGeom prst="flowChartMagneticDisk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PROD_LOG</a:t>
          </a:r>
          <a:endParaRPr kumimoji="1" lang="ja-JP" altLang="en-US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35</xdr:col>
      <xdr:colOff>36794</xdr:colOff>
      <xdr:row>71</xdr:row>
      <xdr:rowOff>107856</xdr:rowOff>
    </xdr:from>
    <xdr:to>
      <xdr:col>38</xdr:col>
      <xdr:colOff>123172</xdr:colOff>
      <xdr:row>72</xdr:row>
      <xdr:rowOff>141472</xdr:rowOff>
    </xdr:to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566C2B9C-7351-404E-AB0F-B55C095FE2F9}"/>
            </a:ext>
          </a:extLst>
        </xdr:cNvPr>
        <xdr:cNvSpPr txBox="1"/>
      </xdr:nvSpPr>
      <xdr:spPr>
        <a:xfrm>
          <a:off x="6982107" y="13633356"/>
          <a:ext cx="681690" cy="224116"/>
        </a:xfrm>
        <a:prstGeom prst="rect">
          <a:avLst/>
        </a:prstGeom>
        <a:solidFill>
          <a:srgbClr val="00B0F0">
            <a:alpha val="15000"/>
          </a:srgb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29883</xdr:colOff>
      <xdr:row>70</xdr:row>
      <xdr:rowOff>72463</xdr:rowOff>
    </xdr:from>
    <xdr:to>
      <xdr:col>22</xdr:col>
      <xdr:colOff>48929</xdr:colOff>
      <xdr:row>71</xdr:row>
      <xdr:rowOff>97114</xdr:rowOff>
    </xdr:to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9128EF43-415A-4A7A-B954-BB0A69BC383C}"/>
            </a:ext>
          </a:extLst>
        </xdr:cNvPr>
        <xdr:cNvSpPr txBox="1"/>
      </xdr:nvSpPr>
      <xdr:spPr>
        <a:xfrm>
          <a:off x="3800196" y="13407463"/>
          <a:ext cx="614358" cy="215151"/>
        </a:xfrm>
        <a:prstGeom prst="rect">
          <a:avLst/>
        </a:prstGeom>
        <a:solidFill>
          <a:srgbClr val="00B0F0">
            <a:alpha val="15000"/>
          </a:srgb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168836</xdr:colOff>
      <xdr:row>59</xdr:row>
      <xdr:rowOff>137366</xdr:rowOff>
    </xdr:from>
    <xdr:to>
      <xdr:col>6</xdr:col>
      <xdr:colOff>166687</xdr:colOff>
      <xdr:row>60</xdr:row>
      <xdr:rowOff>174625</xdr:rowOff>
    </xdr:to>
    <xdr:sp macro="" textlink="">
      <xdr:nvSpPr>
        <xdr:cNvPr id="42" name="テキスト ボックス 41">
          <a:extLst>
            <a:ext uri="{FF2B5EF4-FFF2-40B4-BE49-F238E27FC236}">
              <a16:creationId xmlns:a16="http://schemas.microsoft.com/office/drawing/2014/main" id="{F6AC02AE-A049-4149-8D3B-CF44AB075575}"/>
            </a:ext>
          </a:extLst>
        </xdr:cNvPr>
        <xdr:cNvSpPr txBox="1"/>
      </xdr:nvSpPr>
      <xdr:spPr>
        <a:xfrm>
          <a:off x="764149" y="11376866"/>
          <a:ext cx="593163" cy="227759"/>
        </a:xfrm>
        <a:prstGeom prst="rect">
          <a:avLst/>
        </a:prstGeom>
        <a:solidFill>
          <a:srgbClr val="FF0000">
            <a:alpha val="15000"/>
          </a:srgb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29883</xdr:colOff>
      <xdr:row>73</xdr:row>
      <xdr:rowOff>37352</xdr:rowOff>
    </xdr:from>
    <xdr:to>
      <xdr:col>21</xdr:col>
      <xdr:colOff>138669</xdr:colOff>
      <xdr:row>74</xdr:row>
      <xdr:rowOff>48556</xdr:rowOff>
    </xdr:to>
    <xdr:sp macro="" textlink="">
      <xdr:nvSpPr>
        <xdr:cNvPr id="43" name="テキスト ボックス 42">
          <a:extLst>
            <a:ext uri="{FF2B5EF4-FFF2-40B4-BE49-F238E27FC236}">
              <a16:creationId xmlns:a16="http://schemas.microsoft.com/office/drawing/2014/main" id="{3CD4B2F9-36A4-4024-AB6B-FC34E9985C24}"/>
            </a:ext>
          </a:extLst>
        </xdr:cNvPr>
        <xdr:cNvSpPr txBox="1"/>
      </xdr:nvSpPr>
      <xdr:spPr>
        <a:xfrm>
          <a:off x="3800196" y="13943852"/>
          <a:ext cx="505661" cy="201704"/>
        </a:xfrm>
        <a:prstGeom prst="rect">
          <a:avLst/>
        </a:prstGeom>
        <a:solidFill>
          <a:srgbClr val="FF0000">
            <a:alpha val="15000"/>
          </a:srgb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65</xdr:col>
      <xdr:colOff>141851</xdr:colOff>
      <xdr:row>61</xdr:row>
      <xdr:rowOff>6259</xdr:rowOff>
    </xdr:from>
    <xdr:to>
      <xdr:col>69</xdr:col>
      <xdr:colOff>79375</xdr:colOff>
      <xdr:row>62</xdr:row>
      <xdr:rowOff>31750</xdr:rowOff>
    </xdr:to>
    <xdr:sp macro="" textlink="">
      <xdr:nvSpPr>
        <xdr:cNvPr id="44" name="テキスト ボックス 43">
          <a:extLst>
            <a:ext uri="{FF2B5EF4-FFF2-40B4-BE49-F238E27FC236}">
              <a16:creationId xmlns:a16="http://schemas.microsoft.com/office/drawing/2014/main" id="{D236319A-F705-4640-B561-E3D2C5BF173A}"/>
            </a:ext>
          </a:extLst>
        </xdr:cNvPr>
        <xdr:cNvSpPr txBox="1"/>
      </xdr:nvSpPr>
      <xdr:spPr>
        <a:xfrm>
          <a:off x="13040289" y="11626759"/>
          <a:ext cx="731274" cy="215991"/>
        </a:xfrm>
        <a:prstGeom prst="rect">
          <a:avLst/>
        </a:prstGeom>
        <a:solidFill>
          <a:srgbClr val="00B050">
            <a:alpha val="15000"/>
          </a:srgb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29883</xdr:colOff>
      <xdr:row>69</xdr:row>
      <xdr:rowOff>2987</xdr:rowOff>
    </xdr:from>
    <xdr:to>
      <xdr:col>22</xdr:col>
      <xdr:colOff>77506</xdr:colOff>
      <xdr:row>70</xdr:row>
      <xdr:rowOff>4665</xdr:rowOff>
    </xdr:to>
    <xdr:sp macro="" textlink="">
      <xdr:nvSpPr>
        <xdr:cNvPr id="46" name="テキスト ボックス 45">
          <a:extLst>
            <a:ext uri="{FF2B5EF4-FFF2-40B4-BE49-F238E27FC236}">
              <a16:creationId xmlns:a16="http://schemas.microsoft.com/office/drawing/2014/main" id="{F0AC754F-5C63-4796-B966-7B5EF7460DF0}"/>
            </a:ext>
          </a:extLst>
        </xdr:cNvPr>
        <xdr:cNvSpPr txBox="1"/>
      </xdr:nvSpPr>
      <xdr:spPr>
        <a:xfrm>
          <a:off x="3800196" y="13147487"/>
          <a:ext cx="642935" cy="192178"/>
        </a:xfrm>
        <a:prstGeom prst="rect">
          <a:avLst/>
        </a:prstGeom>
        <a:solidFill>
          <a:srgbClr val="00B050">
            <a:alpha val="15000"/>
          </a:srgb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32</xdr:col>
      <xdr:colOff>0</xdr:colOff>
      <xdr:row>3</xdr:row>
      <xdr:rowOff>1</xdr:rowOff>
    </xdr:from>
    <xdr:to>
      <xdr:col>39</xdr:col>
      <xdr:colOff>0</xdr:colOff>
      <xdr:row>4</xdr:row>
      <xdr:rowOff>0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82609E6F-69D8-4EA9-9F96-0A9C8F97F7C2}"/>
            </a:ext>
          </a:extLst>
        </xdr:cNvPr>
        <xdr:cNvSpPr/>
      </xdr:nvSpPr>
      <xdr:spPr>
        <a:xfrm>
          <a:off x="6454588" y="571501"/>
          <a:ext cx="1411941" cy="190499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en-US" altLang="ja-JP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</a:t>
          </a:r>
          <a:r>
            <a:rPr kumimoji="1" lang="ja-JP" altLang="en-US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．</a:t>
          </a:r>
          <a:r>
            <a:rPr kumimoji="1" lang="en-US" altLang="ja-JP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Plod_log</a:t>
          </a:r>
          <a:r>
            <a:rPr kumimoji="1" lang="ja-JP" altLang="en-US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作成</a:t>
          </a:r>
        </a:p>
      </xdr:txBody>
    </xdr:sp>
    <xdr:clientData/>
  </xdr:twoCellAnchor>
  <xdr:twoCellAnchor>
    <xdr:from>
      <xdr:col>25</xdr:col>
      <xdr:colOff>0</xdr:colOff>
      <xdr:row>13</xdr:row>
      <xdr:rowOff>100854</xdr:rowOff>
    </xdr:from>
    <xdr:to>
      <xdr:col>30</xdr:col>
      <xdr:colOff>5509</xdr:colOff>
      <xdr:row>15</xdr:row>
      <xdr:rowOff>112059</xdr:rowOff>
    </xdr:to>
    <xdr:sp macro="" textlink="">
      <xdr:nvSpPr>
        <xdr:cNvPr id="78" name="テキスト ボックス 77">
          <a:extLst>
            <a:ext uri="{FF2B5EF4-FFF2-40B4-BE49-F238E27FC236}">
              <a16:creationId xmlns:a16="http://schemas.microsoft.com/office/drawing/2014/main" id="{9D58F3C9-A60D-4E3C-A460-22BBDAA198BB}"/>
            </a:ext>
          </a:extLst>
        </xdr:cNvPr>
        <xdr:cNvSpPr txBox="1"/>
      </xdr:nvSpPr>
      <xdr:spPr>
        <a:xfrm>
          <a:off x="4960938" y="2577354"/>
          <a:ext cx="997696" cy="3922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T1_work</a:t>
          </a:r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32</xdr:col>
      <xdr:colOff>192094</xdr:colOff>
      <xdr:row>13</xdr:row>
      <xdr:rowOff>112059</xdr:rowOff>
    </xdr:from>
    <xdr:to>
      <xdr:col>38</xdr:col>
      <xdr:colOff>55563</xdr:colOff>
      <xdr:row>15</xdr:row>
      <xdr:rowOff>123264</xdr:rowOff>
    </xdr:to>
    <xdr:sp macro="" textlink="">
      <xdr:nvSpPr>
        <xdr:cNvPr id="79" name="テキスト ボックス 78">
          <a:extLst>
            <a:ext uri="{FF2B5EF4-FFF2-40B4-BE49-F238E27FC236}">
              <a16:creationId xmlns:a16="http://schemas.microsoft.com/office/drawing/2014/main" id="{C1F201A6-C5D7-4CA0-BDB7-F3764F83F81C}"/>
            </a:ext>
          </a:extLst>
        </xdr:cNvPr>
        <xdr:cNvSpPr txBox="1"/>
      </xdr:nvSpPr>
      <xdr:spPr>
        <a:xfrm>
          <a:off x="6542094" y="2588559"/>
          <a:ext cx="1054094" cy="3922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T2_work</a:t>
          </a:r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20</xdr:col>
      <xdr:colOff>112623</xdr:colOff>
      <xdr:row>31</xdr:row>
      <xdr:rowOff>179294</xdr:rowOff>
    </xdr:from>
    <xdr:to>
      <xdr:col>22</xdr:col>
      <xdr:colOff>179859</xdr:colOff>
      <xdr:row>33</xdr:row>
      <xdr:rowOff>190499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FEE5750-4CF7-D534-820A-425471CC917D}"/>
            </a:ext>
          </a:extLst>
        </xdr:cNvPr>
        <xdr:cNvSpPr txBox="1"/>
      </xdr:nvSpPr>
      <xdr:spPr>
        <a:xfrm>
          <a:off x="4081373" y="6084794"/>
          <a:ext cx="464111" cy="3922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T2</a:t>
          </a:r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51</xdr:col>
      <xdr:colOff>29883</xdr:colOff>
      <xdr:row>80</xdr:row>
      <xdr:rowOff>137458</xdr:rowOff>
    </xdr:from>
    <xdr:to>
      <xdr:col>54</xdr:col>
      <xdr:colOff>77506</xdr:colOff>
      <xdr:row>81</xdr:row>
      <xdr:rowOff>139136</xdr:rowOff>
    </xdr:to>
    <xdr:sp macro="" textlink="">
      <xdr:nvSpPr>
        <xdr:cNvPr id="48" name="テキスト ボックス 47">
          <a:extLst>
            <a:ext uri="{FF2B5EF4-FFF2-40B4-BE49-F238E27FC236}">
              <a16:creationId xmlns:a16="http://schemas.microsoft.com/office/drawing/2014/main" id="{669F9710-0CB3-2F9B-B604-4382651C27AD}"/>
            </a:ext>
          </a:extLst>
        </xdr:cNvPr>
        <xdr:cNvSpPr txBox="1"/>
      </xdr:nvSpPr>
      <xdr:spPr>
        <a:xfrm>
          <a:off x="10150196" y="15377458"/>
          <a:ext cx="642935" cy="192178"/>
        </a:xfrm>
        <a:prstGeom prst="rect">
          <a:avLst/>
        </a:prstGeom>
        <a:solidFill>
          <a:srgbClr val="00B050">
            <a:alpha val="15000"/>
          </a:srgb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51</xdr:col>
      <xdr:colOff>18584</xdr:colOff>
      <xdr:row>82</xdr:row>
      <xdr:rowOff>18676</xdr:rowOff>
    </xdr:from>
    <xdr:to>
      <xdr:col>54</xdr:col>
      <xdr:colOff>104963</xdr:colOff>
      <xdr:row>83</xdr:row>
      <xdr:rowOff>52292</xdr:rowOff>
    </xdr:to>
    <xdr:sp macro="" textlink="">
      <xdr:nvSpPr>
        <xdr:cNvPr id="53" name="テキスト ボックス 52">
          <a:extLst>
            <a:ext uri="{FF2B5EF4-FFF2-40B4-BE49-F238E27FC236}">
              <a16:creationId xmlns:a16="http://schemas.microsoft.com/office/drawing/2014/main" id="{2FE64999-F524-B6D7-504E-BFF84884B5A4}"/>
            </a:ext>
          </a:extLst>
        </xdr:cNvPr>
        <xdr:cNvSpPr txBox="1"/>
      </xdr:nvSpPr>
      <xdr:spPr>
        <a:xfrm>
          <a:off x="10138897" y="15639676"/>
          <a:ext cx="681691" cy="224116"/>
        </a:xfrm>
        <a:prstGeom prst="rect">
          <a:avLst/>
        </a:prstGeom>
        <a:solidFill>
          <a:srgbClr val="00B0F0">
            <a:alpha val="15000"/>
          </a:srgb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C8B22-8B3E-4092-B6D2-BFCB1BDC6AC0}">
  <sheetPr>
    <pageSetUpPr fitToPage="1"/>
  </sheetPr>
  <dimension ref="A1:AD120"/>
  <sheetViews>
    <sheetView showGridLines="0" zoomScale="70" zoomScaleNormal="70" workbookViewId="0"/>
  </sheetViews>
  <sheetFormatPr defaultColWidth="3.125" defaultRowHeight="15"/>
  <cols>
    <col min="1" max="16384" width="3.125" style="1"/>
  </cols>
  <sheetData>
    <row r="1" spans="1:14" ht="22.15">
      <c r="A1" s="43" t="s">
        <v>160</v>
      </c>
    </row>
    <row r="3" spans="1:14">
      <c r="B3" s="1" t="s">
        <v>139</v>
      </c>
    </row>
    <row r="4" spans="1:14">
      <c r="C4" s="1" t="s">
        <v>140</v>
      </c>
    </row>
    <row r="6" spans="1:14">
      <c r="B6" s="1" t="s">
        <v>143</v>
      </c>
    </row>
    <row r="7" spans="1:14">
      <c r="C7" s="22" t="s">
        <v>14</v>
      </c>
      <c r="D7" s="50" t="s">
        <v>15</v>
      </c>
      <c r="E7" s="51"/>
      <c r="F7" s="51"/>
      <c r="G7" s="51"/>
      <c r="H7" s="51"/>
      <c r="I7" s="51"/>
      <c r="J7" s="51"/>
      <c r="K7" s="51"/>
      <c r="L7" s="51"/>
      <c r="M7" s="51"/>
      <c r="N7" s="52"/>
    </row>
    <row r="8" spans="1:14">
      <c r="C8" s="23">
        <v>1</v>
      </c>
      <c r="D8" s="2" t="s">
        <v>59</v>
      </c>
      <c r="E8" s="3"/>
      <c r="F8" s="3"/>
      <c r="G8" s="3"/>
      <c r="H8" s="3"/>
      <c r="I8" s="3"/>
      <c r="J8" s="3"/>
      <c r="K8" s="3"/>
      <c r="L8" s="3"/>
      <c r="M8" s="3"/>
      <c r="N8" s="4"/>
    </row>
    <row r="9" spans="1:14">
      <c r="C9" s="23">
        <v>2</v>
      </c>
      <c r="D9" s="2" t="s">
        <v>147</v>
      </c>
      <c r="E9" s="3"/>
      <c r="F9" s="3"/>
      <c r="G9" s="3"/>
      <c r="H9" s="3"/>
      <c r="I9" s="3"/>
      <c r="J9" s="3"/>
      <c r="K9" s="3"/>
      <c r="L9" s="3"/>
      <c r="M9" s="3"/>
      <c r="N9" s="4"/>
    </row>
    <row r="11" spans="1:14">
      <c r="B11" s="1" t="s">
        <v>144</v>
      </c>
    </row>
    <row r="12" spans="1:14">
      <c r="C12" s="1" t="s">
        <v>145</v>
      </c>
    </row>
    <row r="34" spans="3:30">
      <c r="D34" s="24" t="s">
        <v>14</v>
      </c>
      <c r="E34" s="8" t="s">
        <v>97</v>
      </c>
      <c r="F34" s="9"/>
      <c r="G34" s="9"/>
      <c r="H34" s="9"/>
      <c r="I34" s="9"/>
      <c r="J34" s="9"/>
      <c r="K34" s="10"/>
      <c r="L34" s="8" t="s">
        <v>98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10"/>
    </row>
    <row r="35" spans="3:30">
      <c r="D35" s="23">
        <v>1</v>
      </c>
      <c r="E35" s="2" t="s">
        <v>141</v>
      </c>
      <c r="F35" s="3"/>
      <c r="G35" s="3"/>
      <c r="H35" s="3"/>
      <c r="I35" s="3"/>
      <c r="J35" s="3"/>
      <c r="K35" s="4"/>
      <c r="L35" s="2" t="s">
        <v>142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4"/>
    </row>
    <row r="36" spans="3:30">
      <c r="D36" s="44">
        <v>2</v>
      </c>
      <c r="E36" s="12" t="s">
        <v>99</v>
      </c>
      <c r="F36" s="12"/>
      <c r="G36" s="12"/>
      <c r="H36" s="12"/>
      <c r="I36" s="12"/>
      <c r="J36" s="12"/>
      <c r="K36" s="13"/>
      <c r="L36" s="11" t="s">
        <v>138</v>
      </c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3"/>
    </row>
    <row r="37" spans="3:30">
      <c r="D37" s="45"/>
      <c r="E37" s="17"/>
      <c r="F37" s="17"/>
      <c r="G37" s="17"/>
      <c r="H37" s="17"/>
      <c r="I37" s="17"/>
      <c r="J37" s="17"/>
      <c r="K37" s="18"/>
      <c r="L37" s="16" t="s">
        <v>104</v>
      </c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8"/>
    </row>
    <row r="38" spans="3:30">
      <c r="D38" s="23">
        <v>3</v>
      </c>
      <c r="E38" s="2" t="s">
        <v>100</v>
      </c>
      <c r="F38" s="3"/>
      <c r="G38" s="3"/>
      <c r="H38" s="3"/>
      <c r="I38" s="3"/>
      <c r="J38" s="3"/>
      <c r="K38" s="4"/>
      <c r="L38" s="2" t="s">
        <v>101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4"/>
    </row>
    <row r="39" spans="3:30">
      <c r="D39" s="44">
        <v>4</v>
      </c>
      <c r="E39" s="47" t="s">
        <v>102</v>
      </c>
      <c r="F39" s="12"/>
      <c r="G39" s="12"/>
      <c r="H39" s="12"/>
      <c r="I39" s="12"/>
      <c r="J39" s="12"/>
      <c r="K39" s="13"/>
      <c r="L39" s="11" t="s">
        <v>103</v>
      </c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3"/>
    </row>
    <row r="40" spans="3:30">
      <c r="D40" s="46"/>
      <c r="E40" s="14"/>
      <c r="K40" s="15"/>
      <c r="L40" s="14" t="s">
        <v>148</v>
      </c>
      <c r="AD40" s="15"/>
    </row>
    <row r="41" spans="3:30">
      <c r="D41" s="45"/>
      <c r="E41" s="16"/>
      <c r="F41" s="17"/>
      <c r="G41" s="17"/>
      <c r="H41" s="17"/>
      <c r="I41" s="17"/>
      <c r="J41" s="17"/>
      <c r="K41" s="18"/>
      <c r="L41" s="16" t="s">
        <v>149</v>
      </c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8"/>
    </row>
    <row r="43" spans="3:30">
      <c r="C43" s="1" t="s">
        <v>146</v>
      </c>
    </row>
    <row r="65" spans="2:30">
      <c r="D65" s="24" t="s">
        <v>14</v>
      </c>
      <c r="E65" s="8" t="s">
        <v>97</v>
      </c>
      <c r="F65" s="9"/>
      <c r="G65" s="9"/>
      <c r="H65" s="9"/>
      <c r="I65" s="9"/>
      <c r="J65" s="9"/>
      <c r="K65" s="10"/>
      <c r="L65" s="8" t="s">
        <v>98</v>
      </c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10"/>
    </row>
    <row r="66" spans="2:30">
      <c r="D66" s="23">
        <v>1</v>
      </c>
      <c r="E66" s="2" t="s">
        <v>141</v>
      </c>
      <c r="F66" s="3"/>
      <c r="G66" s="3"/>
      <c r="H66" s="3"/>
      <c r="I66" s="3"/>
      <c r="J66" s="3"/>
      <c r="K66" s="4"/>
      <c r="L66" s="2" t="s">
        <v>142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4"/>
    </row>
    <row r="67" spans="2:30">
      <c r="D67" s="44">
        <v>2</v>
      </c>
      <c r="E67" s="12" t="s">
        <v>99</v>
      </c>
      <c r="F67" s="12"/>
      <c r="G67" s="12"/>
      <c r="H67" s="12"/>
      <c r="I67" s="12"/>
      <c r="J67" s="12"/>
      <c r="K67" s="13"/>
      <c r="L67" s="11" t="s">
        <v>138</v>
      </c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3"/>
    </row>
    <row r="68" spans="2:30">
      <c r="D68" s="45"/>
      <c r="E68" s="17"/>
      <c r="F68" s="17"/>
      <c r="G68" s="17"/>
      <c r="H68" s="17"/>
      <c r="I68" s="17"/>
      <c r="J68" s="17"/>
      <c r="K68" s="18"/>
      <c r="L68" s="16" t="s">
        <v>104</v>
      </c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8"/>
    </row>
    <row r="69" spans="2:30">
      <c r="D69" s="23">
        <v>3</v>
      </c>
      <c r="E69" s="2" t="s">
        <v>100</v>
      </c>
      <c r="F69" s="3"/>
      <c r="G69" s="3"/>
      <c r="H69" s="3"/>
      <c r="I69" s="3"/>
      <c r="J69" s="3"/>
      <c r="K69" s="4"/>
      <c r="L69" s="2" t="s">
        <v>150</v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4"/>
    </row>
    <row r="70" spans="2:30">
      <c r="D70" s="23">
        <v>4</v>
      </c>
      <c r="E70" s="2" t="s">
        <v>94</v>
      </c>
      <c r="F70" s="3"/>
      <c r="G70" s="3"/>
      <c r="H70" s="3"/>
      <c r="I70" s="3"/>
      <c r="J70" s="3"/>
      <c r="K70" s="4"/>
      <c r="L70" s="2" t="s">
        <v>108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4"/>
    </row>
    <row r="71" spans="2:30">
      <c r="D71" s="23">
        <v>5</v>
      </c>
      <c r="E71" s="2" t="s">
        <v>105</v>
      </c>
      <c r="F71" s="3"/>
      <c r="G71" s="3"/>
      <c r="H71" s="3"/>
      <c r="I71" s="3"/>
      <c r="J71" s="3"/>
      <c r="K71" s="4"/>
      <c r="L71" s="2" t="s">
        <v>109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4"/>
    </row>
    <row r="72" spans="2:30">
      <c r="D72" s="23">
        <v>6</v>
      </c>
      <c r="E72" s="48" t="s">
        <v>106</v>
      </c>
      <c r="F72" s="3"/>
      <c r="G72" s="3"/>
      <c r="H72" s="3"/>
      <c r="I72" s="3"/>
      <c r="J72" s="3"/>
      <c r="K72" s="4"/>
      <c r="L72" s="2" t="s">
        <v>110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4"/>
    </row>
    <row r="73" spans="2:30">
      <c r="D73" s="23">
        <v>7</v>
      </c>
      <c r="E73" s="49" t="s">
        <v>107</v>
      </c>
      <c r="F73" s="3"/>
      <c r="G73" s="3"/>
      <c r="H73" s="3"/>
      <c r="I73" s="3"/>
      <c r="J73" s="3"/>
      <c r="K73" s="4"/>
      <c r="L73" s="2" t="s">
        <v>111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4"/>
    </row>
    <row r="76" spans="2:30">
      <c r="B76" s="1" t="s">
        <v>136</v>
      </c>
    </row>
    <row r="77" spans="2:30">
      <c r="C77" s="1" t="s">
        <v>154</v>
      </c>
    </row>
    <row r="78" spans="2:30">
      <c r="D78" s="1" t="s">
        <v>156</v>
      </c>
    </row>
    <row r="79" spans="2:30">
      <c r="D79" s="1" t="s">
        <v>157</v>
      </c>
    </row>
    <row r="81" spans="4:19">
      <c r="D81" s="1" t="s">
        <v>151</v>
      </c>
    </row>
    <row r="82" spans="4:19">
      <c r="D82" s="8" t="s">
        <v>93</v>
      </c>
      <c r="E82" s="53"/>
      <c r="F82" s="53"/>
      <c r="G82" s="53"/>
      <c r="H82" s="53"/>
      <c r="I82" s="54"/>
      <c r="J82" s="8" t="s">
        <v>152</v>
      </c>
      <c r="K82" s="53"/>
      <c r="L82" s="53"/>
      <c r="M82" s="54"/>
      <c r="N82" s="8" t="s">
        <v>153</v>
      </c>
      <c r="O82" s="53"/>
      <c r="P82" s="53"/>
      <c r="Q82" s="53"/>
      <c r="R82" s="53"/>
      <c r="S82" s="54"/>
    </row>
    <row r="83" spans="4:19">
      <c r="D83" s="55">
        <v>45748.333344907405</v>
      </c>
      <c r="E83" s="56"/>
      <c r="F83" s="56"/>
      <c r="G83" s="56"/>
      <c r="H83" s="56"/>
      <c r="I83" s="57"/>
      <c r="J83" s="58">
        <v>45748</v>
      </c>
      <c r="K83" s="56"/>
      <c r="L83" s="56"/>
      <c r="M83" s="57"/>
      <c r="N83" s="64" t="s">
        <v>155</v>
      </c>
      <c r="O83" s="65"/>
      <c r="P83" s="65"/>
      <c r="Q83" s="65"/>
      <c r="R83" s="65"/>
      <c r="S83" s="66"/>
    </row>
    <row r="84" spans="4:19">
      <c r="D84" s="71">
        <v>45748.375</v>
      </c>
      <c r="E84" s="72"/>
      <c r="F84" s="72"/>
      <c r="G84" s="72"/>
      <c r="H84" s="72"/>
      <c r="I84" s="73"/>
      <c r="J84" s="58">
        <v>45748</v>
      </c>
      <c r="K84" s="56"/>
      <c r="L84" s="56"/>
      <c r="M84" s="57"/>
      <c r="N84" s="71">
        <v>45748.333333333336</v>
      </c>
      <c r="O84" s="72"/>
      <c r="P84" s="72"/>
      <c r="Q84" s="72"/>
      <c r="R84" s="72"/>
      <c r="S84" s="73"/>
    </row>
    <row r="85" spans="4:19">
      <c r="D85" s="55">
        <v>45748.416666666664</v>
      </c>
      <c r="E85" s="56"/>
      <c r="F85" s="56"/>
      <c r="G85" s="56"/>
      <c r="H85" s="56"/>
      <c r="I85" s="57"/>
      <c r="J85" s="58">
        <v>45748</v>
      </c>
      <c r="K85" s="56"/>
      <c r="L85" s="56"/>
      <c r="M85" s="57"/>
      <c r="N85" s="55">
        <v>45748.375</v>
      </c>
      <c r="O85" s="56"/>
      <c r="P85" s="56"/>
      <c r="Q85" s="56"/>
      <c r="R85" s="56"/>
      <c r="S85" s="57"/>
    </row>
    <row r="86" spans="4:19">
      <c r="D86" s="55">
        <v>45748.45833321759</v>
      </c>
      <c r="E86" s="56"/>
      <c r="F86" s="56"/>
      <c r="G86" s="56"/>
      <c r="H86" s="56"/>
      <c r="I86" s="57"/>
      <c r="J86" s="58">
        <v>45748</v>
      </c>
      <c r="K86" s="56"/>
      <c r="L86" s="56"/>
      <c r="M86" s="57"/>
      <c r="N86" s="55">
        <v>45748.416666666664</v>
      </c>
      <c r="O86" s="56"/>
      <c r="P86" s="56"/>
      <c r="Q86" s="56"/>
      <c r="R86" s="56"/>
      <c r="S86" s="57"/>
    </row>
    <row r="87" spans="4:19">
      <c r="D87" s="55">
        <v>45748.499999826388</v>
      </c>
      <c r="E87" s="56"/>
      <c r="F87" s="56"/>
      <c r="G87" s="56"/>
      <c r="H87" s="56"/>
      <c r="I87" s="57"/>
      <c r="J87" s="58">
        <v>45748</v>
      </c>
      <c r="K87" s="56"/>
      <c r="L87" s="56"/>
      <c r="M87" s="57"/>
      <c r="N87" s="55">
        <v>45748.458333333336</v>
      </c>
      <c r="O87" s="56"/>
      <c r="P87" s="56"/>
      <c r="Q87" s="56"/>
      <c r="R87" s="56"/>
      <c r="S87" s="57"/>
    </row>
    <row r="88" spans="4:19">
      <c r="D88" s="55">
        <v>45748.541666435187</v>
      </c>
      <c r="E88" s="56"/>
      <c r="F88" s="56"/>
      <c r="G88" s="56"/>
      <c r="H88" s="56"/>
      <c r="I88" s="57"/>
      <c r="J88" s="58">
        <v>45748</v>
      </c>
      <c r="K88" s="56"/>
      <c r="L88" s="56"/>
      <c r="M88" s="57"/>
      <c r="N88" s="55">
        <v>45748.5</v>
      </c>
      <c r="O88" s="56"/>
      <c r="P88" s="56"/>
      <c r="Q88" s="56"/>
      <c r="R88" s="56"/>
      <c r="S88" s="57"/>
    </row>
    <row r="89" spans="4:19">
      <c r="D89" s="55">
        <v>45748.583333043978</v>
      </c>
      <c r="E89" s="56"/>
      <c r="F89" s="56"/>
      <c r="G89" s="56"/>
      <c r="H89" s="56"/>
      <c r="I89" s="57"/>
      <c r="J89" s="58">
        <v>45748</v>
      </c>
      <c r="K89" s="56"/>
      <c r="L89" s="56"/>
      <c r="M89" s="57"/>
      <c r="N89" s="55">
        <v>45748.541666666664</v>
      </c>
      <c r="O89" s="56"/>
      <c r="P89" s="56"/>
      <c r="Q89" s="56"/>
      <c r="R89" s="56"/>
      <c r="S89" s="57"/>
    </row>
    <row r="90" spans="4:19">
      <c r="D90" s="55">
        <v>45748.624999652777</v>
      </c>
      <c r="E90" s="56"/>
      <c r="F90" s="56"/>
      <c r="G90" s="56"/>
      <c r="H90" s="56"/>
      <c r="I90" s="57"/>
      <c r="J90" s="58">
        <v>45748</v>
      </c>
      <c r="K90" s="56"/>
      <c r="L90" s="56"/>
      <c r="M90" s="57"/>
      <c r="N90" s="55">
        <v>45748.583333333336</v>
      </c>
      <c r="O90" s="56"/>
      <c r="P90" s="56"/>
      <c r="Q90" s="56"/>
      <c r="R90" s="56"/>
      <c r="S90" s="57"/>
    </row>
    <row r="91" spans="4:19">
      <c r="D91" s="55">
        <v>45748.666666261575</v>
      </c>
      <c r="E91" s="56"/>
      <c r="F91" s="56"/>
      <c r="G91" s="56"/>
      <c r="H91" s="56"/>
      <c r="I91" s="57"/>
      <c r="J91" s="58">
        <v>45748</v>
      </c>
      <c r="K91" s="56"/>
      <c r="L91" s="56"/>
      <c r="M91" s="57"/>
      <c r="N91" s="55">
        <v>45748.625</v>
      </c>
      <c r="O91" s="56"/>
      <c r="P91" s="56"/>
      <c r="Q91" s="56"/>
      <c r="R91" s="56"/>
      <c r="S91" s="57"/>
    </row>
    <row r="92" spans="4:19">
      <c r="D92" s="55">
        <v>45748.708332870374</v>
      </c>
      <c r="E92" s="56"/>
      <c r="F92" s="56"/>
      <c r="G92" s="56"/>
      <c r="H92" s="56"/>
      <c r="I92" s="57"/>
      <c r="J92" s="58">
        <v>45748</v>
      </c>
      <c r="K92" s="56"/>
      <c r="L92" s="56"/>
      <c r="M92" s="57"/>
      <c r="N92" s="55">
        <v>45748.666666666664</v>
      </c>
      <c r="O92" s="56"/>
      <c r="P92" s="56"/>
      <c r="Q92" s="56"/>
      <c r="R92" s="56"/>
      <c r="S92" s="57"/>
    </row>
    <row r="93" spans="4:19">
      <c r="D93" s="55">
        <v>45748.749999479165</v>
      </c>
      <c r="E93" s="56"/>
      <c r="F93" s="56"/>
      <c r="G93" s="56"/>
      <c r="H93" s="56"/>
      <c r="I93" s="57"/>
      <c r="J93" s="58">
        <v>45748</v>
      </c>
      <c r="K93" s="56"/>
      <c r="L93" s="56"/>
      <c r="M93" s="57"/>
      <c r="N93" s="55">
        <v>45748.708333333336</v>
      </c>
      <c r="O93" s="56"/>
      <c r="P93" s="56"/>
      <c r="Q93" s="56"/>
      <c r="R93" s="56"/>
      <c r="S93" s="57"/>
    </row>
    <row r="94" spans="4:19">
      <c r="D94" s="55">
        <v>45748.791666087964</v>
      </c>
      <c r="E94" s="56"/>
      <c r="F94" s="56"/>
      <c r="G94" s="56"/>
      <c r="H94" s="56"/>
      <c r="I94" s="57"/>
      <c r="J94" s="58">
        <v>45748</v>
      </c>
      <c r="K94" s="56"/>
      <c r="L94" s="56"/>
      <c r="M94" s="57"/>
      <c r="N94" s="55">
        <v>45748.75</v>
      </c>
      <c r="O94" s="56"/>
      <c r="P94" s="56"/>
      <c r="Q94" s="56"/>
      <c r="R94" s="56"/>
      <c r="S94" s="57"/>
    </row>
    <row r="95" spans="4:19">
      <c r="D95" s="55">
        <v>45748.833332696762</v>
      </c>
      <c r="E95" s="56"/>
      <c r="F95" s="56"/>
      <c r="G95" s="56"/>
      <c r="H95" s="56"/>
      <c r="I95" s="57"/>
      <c r="J95" s="58">
        <v>45748</v>
      </c>
      <c r="K95" s="56"/>
      <c r="L95" s="56"/>
      <c r="M95" s="57"/>
      <c r="N95" s="55">
        <v>45748.791666666664</v>
      </c>
      <c r="O95" s="56"/>
      <c r="P95" s="56"/>
      <c r="Q95" s="56"/>
      <c r="R95" s="56"/>
      <c r="S95" s="57"/>
    </row>
    <row r="96" spans="4:19">
      <c r="D96" s="55">
        <v>45748.874999305554</v>
      </c>
      <c r="E96" s="56"/>
      <c r="F96" s="56"/>
      <c r="G96" s="56"/>
      <c r="H96" s="56"/>
      <c r="I96" s="57"/>
      <c r="J96" s="58">
        <v>45748</v>
      </c>
      <c r="K96" s="56"/>
      <c r="L96" s="56"/>
      <c r="M96" s="57"/>
      <c r="N96" s="55">
        <v>45748.833333333336</v>
      </c>
      <c r="O96" s="56"/>
      <c r="P96" s="56"/>
      <c r="Q96" s="56"/>
      <c r="R96" s="56"/>
      <c r="S96" s="57"/>
    </row>
    <row r="97" spans="3:19">
      <c r="D97" s="55">
        <v>45748.916665914352</v>
      </c>
      <c r="E97" s="56"/>
      <c r="F97" s="56"/>
      <c r="G97" s="56"/>
      <c r="H97" s="56"/>
      <c r="I97" s="57"/>
      <c r="J97" s="58">
        <v>45748</v>
      </c>
      <c r="K97" s="56"/>
      <c r="L97" s="56"/>
      <c r="M97" s="57"/>
      <c r="N97" s="55">
        <v>45748.875</v>
      </c>
      <c r="O97" s="56"/>
      <c r="P97" s="56"/>
      <c r="Q97" s="56"/>
      <c r="R97" s="56"/>
      <c r="S97" s="57"/>
    </row>
    <row r="98" spans="3:19">
      <c r="D98" s="55">
        <v>45748.958332523151</v>
      </c>
      <c r="E98" s="56"/>
      <c r="F98" s="56"/>
      <c r="G98" s="56"/>
      <c r="H98" s="56"/>
      <c r="I98" s="57"/>
      <c r="J98" s="58">
        <v>45748</v>
      </c>
      <c r="K98" s="56"/>
      <c r="L98" s="56"/>
      <c r="M98" s="57"/>
      <c r="N98" s="55">
        <v>45748.916666666664</v>
      </c>
      <c r="O98" s="56"/>
      <c r="P98" s="56"/>
      <c r="Q98" s="56"/>
      <c r="R98" s="56"/>
      <c r="S98" s="57"/>
    </row>
    <row r="99" spans="3:19">
      <c r="D99" s="55">
        <v>45748.999999131942</v>
      </c>
      <c r="E99" s="56"/>
      <c r="F99" s="56"/>
      <c r="G99" s="56"/>
      <c r="H99" s="56"/>
      <c r="I99" s="57"/>
      <c r="J99" s="58">
        <v>45748</v>
      </c>
      <c r="K99" s="56"/>
      <c r="L99" s="56"/>
      <c r="M99" s="57"/>
      <c r="N99" s="55">
        <v>45748.958333333336</v>
      </c>
      <c r="O99" s="56"/>
      <c r="P99" s="56"/>
      <c r="Q99" s="56"/>
      <c r="R99" s="56"/>
      <c r="S99" s="57"/>
    </row>
    <row r="100" spans="3:19">
      <c r="D100" s="55">
        <v>45749.04166574074</v>
      </c>
      <c r="E100" s="56"/>
      <c r="F100" s="56"/>
      <c r="G100" s="56"/>
      <c r="H100" s="56"/>
      <c r="I100" s="57"/>
      <c r="J100" s="58">
        <v>45748</v>
      </c>
      <c r="K100" s="56"/>
      <c r="L100" s="56"/>
      <c r="M100" s="57"/>
      <c r="N100" s="55">
        <v>45749</v>
      </c>
      <c r="O100" s="56"/>
      <c r="P100" s="56"/>
      <c r="Q100" s="56"/>
      <c r="R100" s="56"/>
      <c r="S100" s="57"/>
    </row>
    <row r="101" spans="3:19">
      <c r="D101" s="55">
        <v>45749.083332349539</v>
      </c>
      <c r="E101" s="56"/>
      <c r="F101" s="56"/>
      <c r="G101" s="56"/>
      <c r="H101" s="56"/>
      <c r="I101" s="57"/>
      <c r="J101" s="58">
        <v>45748</v>
      </c>
      <c r="K101" s="56"/>
      <c r="L101" s="56"/>
      <c r="M101" s="57"/>
      <c r="N101" s="55">
        <v>45749.041666666664</v>
      </c>
      <c r="O101" s="56"/>
      <c r="P101" s="56"/>
      <c r="Q101" s="56"/>
      <c r="R101" s="56"/>
      <c r="S101" s="57"/>
    </row>
    <row r="102" spans="3:19">
      <c r="D102" s="55">
        <v>45749.12499895833</v>
      </c>
      <c r="E102" s="56"/>
      <c r="F102" s="56"/>
      <c r="G102" s="56"/>
      <c r="H102" s="56"/>
      <c r="I102" s="57"/>
      <c r="J102" s="58">
        <v>45748</v>
      </c>
      <c r="K102" s="56"/>
      <c r="L102" s="56"/>
      <c r="M102" s="57"/>
      <c r="N102" s="55">
        <v>45749.083333333336</v>
      </c>
      <c r="O102" s="56"/>
      <c r="P102" s="56"/>
      <c r="Q102" s="56"/>
      <c r="R102" s="56"/>
      <c r="S102" s="57"/>
    </row>
    <row r="103" spans="3:19">
      <c r="D103" s="55">
        <v>45749.166665567129</v>
      </c>
      <c r="E103" s="56"/>
      <c r="F103" s="56"/>
      <c r="G103" s="56"/>
      <c r="H103" s="56"/>
      <c r="I103" s="57"/>
      <c r="J103" s="58">
        <v>45748</v>
      </c>
      <c r="K103" s="56"/>
      <c r="L103" s="56"/>
      <c r="M103" s="57"/>
      <c r="N103" s="55">
        <v>45749.125</v>
      </c>
      <c r="O103" s="56"/>
      <c r="P103" s="56"/>
      <c r="Q103" s="56"/>
      <c r="R103" s="56"/>
      <c r="S103" s="57"/>
    </row>
    <row r="104" spans="3:19">
      <c r="D104" s="55">
        <v>45749.208332175927</v>
      </c>
      <c r="E104" s="56"/>
      <c r="F104" s="56"/>
      <c r="G104" s="56"/>
      <c r="H104" s="56"/>
      <c r="I104" s="57"/>
      <c r="J104" s="58">
        <v>45748</v>
      </c>
      <c r="K104" s="56"/>
      <c r="L104" s="56"/>
      <c r="M104" s="57"/>
      <c r="N104" s="55">
        <v>45749.166666666664</v>
      </c>
      <c r="O104" s="56"/>
      <c r="P104" s="56"/>
      <c r="Q104" s="56"/>
      <c r="R104" s="56"/>
      <c r="S104" s="57"/>
    </row>
    <row r="105" spans="3:19">
      <c r="D105" s="55">
        <v>45749.249998784719</v>
      </c>
      <c r="E105" s="56"/>
      <c r="F105" s="56"/>
      <c r="G105" s="56"/>
      <c r="H105" s="56"/>
      <c r="I105" s="57"/>
      <c r="J105" s="58">
        <v>45748</v>
      </c>
      <c r="K105" s="56"/>
      <c r="L105" s="56"/>
      <c r="M105" s="57"/>
      <c r="N105" s="55">
        <v>45749.208333333336</v>
      </c>
      <c r="O105" s="56"/>
      <c r="P105" s="56"/>
      <c r="Q105" s="56"/>
      <c r="R105" s="56"/>
      <c r="S105" s="57"/>
    </row>
    <row r="106" spans="3:19">
      <c r="D106" s="55">
        <v>45749.291665277779</v>
      </c>
      <c r="E106" s="56"/>
      <c r="F106" s="56"/>
      <c r="G106" s="56"/>
      <c r="H106" s="56"/>
      <c r="I106" s="57"/>
      <c r="J106" s="58">
        <v>45748</v>
      </c>
      <c r="K106" s="56"/>
      <c r="L106" s="56"/>
      <c r="M106" s="57"/>
      <c r="N106" s="55">
        <v>45749.250000057873</v>
      </c>
      <c r="O106" s="56"/>
      <c r="P106" s="56"/>
      <c r="Q106" s="56"/>
      <c r="R106" s="56"/>
      <c r="S106" s="57"/>
    </row>
    <row r="107" spans="3:19">
      <c r="D107" s="55">
        <v>45749.333333333336</v>
      </c>
      <c r="E107" s="56"/>
      <c r="F107" s="56"/>
      <c r="G107" s="56"/>
      <c r="H107" s="56"/>
      <c r="I107" s="57"/>
      <c r="J107" s="70">
        <v>45748</v>
      </c>
      <c r="K107" s="68"/>
      <c r="L107" s="68"/>
      <c r="M107" s="69"/>
      <c r="N107" s="55">
        <v>45749.291666666664</v>
      </c>
      <c r="O107" s="56"/>
      <c r="P107" s="56"/>
      <c r="Q107" s="56"/>
      <c r="R107" s="56"/>
      <c r="S107" s="57"/>
    </row>
    <row r="108" spans="3:19">
      <c r="D108" s="55">
        <v>45749.333344907405</v>
      </c>
      <c r="E108" s="56"/>
      <c r="F108" s="56"/>
      <c r="G108" s="56"/>
      <c r="H108" s="56"/>
      <c r="I108" s="57"/>
      <c r="J108" s="70">
        <v>45749</v>
      </c>
      <c r="K108" s="68"/>
      <c r="L108" s="68"/>
      <c r="M108" s="69"/>
      <c r="N108" s="64" t="s">
        <v>155</v>
      </c>
      <c r="O108" s="65"/>
      <c r="P108" s="65"/>
      <c r="Q108" s="65"/>
      <c r="R108" s="65"/>
      <c r="S108" s="66"/>
    </row>
    <row r="109" spans="3:19">
      <c r="D109" s="59"/>
      <c r="E109" s="59"/>
      <c r="F109" s="59"/>
      <c r="G109" s="59"/>
      <c r="H109" s="59"/>
      <c r="I109" s="59"/>
      <c r="J109" s="60"/>
      <c r="K109" s="59"/>
      <c r="L109" s="59"/>
      <c r="M109" s="59"/>
    </row>
    <row r="111" spans="3:19">
      <c r="C111" s="1" t="s">
        <v>137</v>
      </c>
    </row>
    <row r="112" spans="3:19">
      <c r="D112" s="1" t="s">
        <v>158</v>
      </c>
    </row>
    <row r="113" spans="4:24">
      <c r="D113" s="1" t="s">
        <v>159</v>
      </c>
    </row>
    <row r="115" spans="4:24">
      <c r="D115" s="1" t="s">
        <v>96</v>
      </c>
    </row>
    <row r="116" spans="4:24">
      <c r="D116" s="8" t="s">
        <v>49</v>
      </c>
      <c r="E116" s="53"/>
      <c r="F116" s="53"/>
      <c r="G116" s="53"/>
      <c r="H116" s="53"/>
      <c r="I116" s="54"/>
      <c r="J116" s="8" t="s">
        <v>153</v>
      </c>
      <c r="K116" s="53"/>
      <c r="L116" s="53"/>
      <c r="M116" s="53"/>
      <c r="N116" s="53"/>
      <c r="O116" s="54"/>
      <c r="P116" s="61" t="s">
        <v>94</v>
      </c>
      <c r="Q116" s="53"/>
      <c r="R116" s="53"/>
      <c r="S116" s="61" t="s">
        <v>95</v>
      </c>
      <c r="T116" s="53"/>
      <c r="U116" s="53"/>
      <c r="V116" s="53"/>
      <c r="W116" s="53"/>
      <c r="X116" s="54"/>
    </row>
    <row r="117" spans="4:24">
      <c r="D117" s="64">
        <v>45415.333344907405</v>
      </c>
      <c r="E117" s="65"/>
      <c r="F117" s="65"/>
      <c r="G117" s="65"/>
      <c r="H117" s="65"/>
      <c r="I117" s="66"/>
      <c r="J117" s="64" t="s">
        <v>155</v>
      </c>
      <c r="K117" s="65"/>
      <c r="L117" s="65"/>
      <c r="M117" s="65"/>
      <c r="N117" s="65"/>
      <c r="O117" s="66"/>
      <c r="P117" s="67">
        <v>0</v>
      </c>
      <c r="Q117" s="65"/>
      <c r="R117" s="65"/>
      <c r="S117" s="67">
        <v>0</v>
      </c>
      <c r="T117" s="65"/>
      <c r="U117" s="65"/>
      <c r="V117" s="65"/>
      <c r="W117" s="65"/>
      <c r="X117" s="66"/>
    </row>
    <row r="118" spans="4:24">
      <c r="D118" s="55">
        <v>45415.375</v>
      </c>
      <c r="E118" s="56"/>
      <c r="F118" s="56"/>
      <c r="G118" s="56"/>
      <c r="H118" s="56"/>
      <c r="I118" s="57"/>
      <c r="J118" s="55">
        <v>45415.333333333336</v>
      </c>
      <c r="K118" s="56"/>
      <c r="L118" s="56"/>
      <c r="M118" s="56"/>
      <c r="N118" s="56"/>
      <c r="O118" s="57"/>
      <c r="P118" s="62">
        <v>6103</v>
      </c>
      <c r="Q118" s="56"/>
      <c r="R118" s="56"/>
      <c r="S118" s="63">
        <v>6103</v>
      </c>
      <c r="T118" s="68"/>
      <c r="U118" s="68"/>
      <c r="V118" s="68"/>
      <c r="W118" s="68"/>
      <c r="X118" s="69"/>
    </row>
    <row r="119" spans="4:24">
      <c r="D119" s="55">
        <v>45415.416666666664</v>
      </c>
      <c r="E119" s="56"/>
      <c r="F119" s="56"/>
      <c r="G119" s="56"/>
      <c r="H119" s="56"/>
      <c r="I119" s="57"/>
      <c r="J119" s="55">
        <v>45415.375</v>
      </c>
      <c r="K119" s="56"/>
      <c r="L119" s="56"/>
      <c r="M119" s="56"/>
      <c r="N119" s="56"/>
      <c r="O119" s="57"/>
      <c r="P119" s="62">
        <v>6918</v>
      </c>
      <c r="Q119" s="56"/>
      <c r="R119" s="56"/>
      <c r="S119" s="63">
        <v>815</v>
      </c>
      <c r="T119" s="68"/>
      <c r="U119" s="68"/>
      <c r="V119" s="68"/>
      <c r="W119" s="68"/>
      <c r="X119" s="69"/>
    </row>
    <row r="120" spans="4:24">
      <c r="D120" s="59"/>
      <c r="E120" s="59"/>
      <c r="F120" s="59"/>
      <c r="G120" s="59"/>
      <c r="H120" s="59"/>
      <c r="I120" s="59"/>
      <c r="J120" s="74"/>
      <c r="K120" s="59"/>
      <c r="L120" s="59"/>
      <c r="M120" s="74"/>
      <c r="N120" s="59"/>
      <c r="O120" s="59"/>
      <c r="P120" s="59"/>
      <c r="Q120" s="59"/>
      <c r="R120" s="59"/>
    </row>
  </sheetData>
  <phoneticPr fontId="2"/>
  <pageMargins left="0.70866141732283472" right="0.70866141732283472" top="0.74803149606299213" bottom="0.74803149606299213" header="0.31496062992125984" footer="0.31496062992125984"/>
  <pageSetup paperSize="9" scale="3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10280-F45A-4D91-ADF0-BFE1F306CD34}">
  <sheetPr>
    <pageSetUpPr fitToPage="1"/>
  </sheetPr>
  <dimension ref="A1:AT52"/>
  <sheetViews>
    <sheetView showGridLines="0" zoomScale="60" zoomScaleNormal="60" workbookViewId="0"/>
  </sheetViews>
  <sheetFormatPr defaultColWidth="2.625" defaultRowHeight="15"/>
  <cols>
    <col min="1" max="16384" width="2.625" style="1"/>
  </cols>
  <sheetData>
    <row r="1" spans="1:46">
      <c r="A1" s="1" t="s">
        <v>10</v>
      </c>
    </row>
    <row r="2" spans="1:46">
      <c r="B2" s="1" t="s">
        <v>11</v>
      </c>
    </row>
    <row r="3" spans="1:46">
      <c r="C3" s="5" t="s">
        <v>12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7"/>
    </row>
    <row r="4" spans="1:46">
      <c r="C4" s="14"/>
      <c r="AT4" s="15"/>
    </row>
    <row r="5" spans="1:46">
      <c r="C5" s="14"/>
      <c r="AT5" s="15"/>
    </row>
    <row r="6" spans="1:46">
      <c r="C6" s="14"/>
      <c r="AT6" s="15"/>
    </row>
    <row r="7" spans="1:46">
      <c r="C7" s="14"/>
      <c r="AT7" s="15"/>
    </row>
    <row r="8" spans="1:46">
      <c r="C8" s="14"/>
      <c r="AT8" s="15"/>
    </row>
    <row r="9" spans="1:46">
      <c r="C9" s="14"/>
      <c r="AT9" s="15"/>
    </row>
    <row r="10" spans="1:46">
      <c r="C10" s="14"/>
      <c r="AT10" s="15"/>
    </row>
    <row r="11" spans="1:46">
      <c r="C11" s="14"/>
      <c r="AT11" s="15"/>
    </row>
    <row r="12" spans="1:46">
      <c r="C12" s="14"/>
      <c r="AT12" s="15"/>
    </row>
    <row r="13" spans="1:46">
      <c r="C13" s="14"/>
      <c r="AT13" s="15"/>
    </row>
    <row r="14" spans="1:46">
      <c r="C14" s="14"/>
      <c r="AT14" s="15"/>
    </row>
    <row r="15" spans="1:46">
      <c r="C15" s="14"/>
      <c r="AT15" s="15"/>
    </row>
    <row r="16" spans="1:46">
      <c r="C16" s="14"/>
      <c r="AT16" s="15"/>
    </row>
    <row r="17" spans="3:46">
      <c r="C17" s="14"/>
      <c r="AT17" s="15"/>
    </row>
    <row r="18" spans="3:46">
      <c r="C18" s="14"/>
      <c r="AT18" s="15"/>
    </row>
    <row r="19" spans="3:46">
      <c r="C19" s="14"/>
      <c r="AT19" s="15"/>
    </row>
    <row r="20" spans="3:46">
      <c r="C20" s="14"/>
      <c r="AT20" s="15"/>
    </row>
    <row r="21" spans="3:46">
      <c r="C21" s="14"/>
      <c r="AT21" s="15"/>
    </row>
    <row r="22" spans="3:46">
      <c r="C22" s="14"/>
      <c r="AT22" s="15"/>
    </row>
    <row r="23" spans="3:46">
      <c r="C23" s="14"/>
      <c r="AT23" s="15"/>
    </row>
    <row r="24" spans="3:46">
      <c r="C24" s="14"/>
      <c r="AT24" s="15"/>
    </row>
    <row r="25" spans="3:46">
      <c r="C25" s="14"/>
      <c r="AT25" s="15"/>
    </row>
    <row r="26" spans="3:46">
      <c r="C26" s="14"/>
      <c r="AT26" s="15"/>
    </row>
    <row r="27" spans="3:46">
      <c r="C27" s="14"/>
      <c r="AT27" s="15"/>
    </row>
    <row r="28" spans="3:46">
      <c r="C28" s="14"/>
      <c r="AT28" s="15"/>
    </row>
    <row r="29" spans="3:46">
      <c r="C29" s="16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8"/>
    </row>
    <row r="30" spans="3:46">
      <c r="C30" s="19" t="s">
        <v>161</v>
      </c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1"/>
    </row>
    <row r="31" spans="3:46">
      <c r="C31" s="14"/>
      <c r="AT31" s="15"/>
    </row>
    <row r="32" spans="3:46">
      <c r="C32" s="14"/>
      <c r="AT32" s="15"/>
    </row>
    <row r="33" spans="3:46">
      <c r="C33" s="14"/>
      <c r="AT33" s="15"/>
    </row>
    <row r="34" spans="3:46">
      <c r="C34" s="14"/>
      <c r="AT34" s="15"/>
    </row>
    <row r="35" spans="3:46">
      <c r="C35" s="14"/>
      <c r="AT35" s="15"/>
    </row>
    <row r="36" spans="3:46">
      <c r="C36" s="14"/>
      <c r="AT36" s="15"/>
    </row>
    <row r="37" spans="3:46">
      <c r="C37" s="14"/>
      <c r="AT37" s="15"/>
    </row>
    <row r="38" spans="3:46">
      <c r="C38" s="14"/>
      <c r="AT38" s="15"/>
    </row>
    <row r="39" spans="3:46">
      <c r="C39" s="14"/>
      <c r="F39" s="8" t="s">
        <v>117</v>
      </c>
      <c r="G39" s="9"/>
      <c r="H39" s="10"/>
      <c r="I39" s="24" t="s">
        <v>97</v>
      </c>
      <c r="J39" s="9"/>
      <c r="K39" s="9"/>
      <c r="L39" s="9"/>
      <c r="M39" s="9"/>
      <c r="N39" s="9"/>
      <c r="O39" s="10"/>
      <c r="S39" s="8" t="s">
        <v>117</v>
      </c>
      <c r="T39" s="9"/>
      <c r="U39" s="10"/>
      <c r="V39" s="24" t="s">
        <v>97</v>
      </c>
      <c r="W39" s="9"/>
      <c r="X39" s="9"/>
      <c r="Y39" s="9"/>
      <c r="Z39" s="9"/>
      <c r="AA39" s="9"/>
      <c r="AB39" s="10"/>
      <c r="AT39" s="15"/>
    </row>
    <row r="40" spans="3:46">
      <c r="C40" s="14"/>
      <c r="F40" s="75" t="s">
        <v>58</v>
      </c>
      <c r="G40" s="12"/>
      <c r="H40" s="13"/>
      <c r="I40" s="23" t="s">
        <v>114</v>
      </c>
      <c r="J40" s="3"/>
      <c r="K40" s="3"/>
      <c r="L40" s="3"/>
      <c r="M40" s="3"/>
      <c r="N40" s="3"/>
      <c r="O40" s="4"/>
      <c r="S40" s="75" t="s">
        <v>162</v>
      </c>
      <c r="T40" s="12"/>
      <c r="U40" s="13"/>
      <c r="V40" s="23" t="s">
        <v>164</v>
      </c>
      <c r="W40" s="3"/>
      <c r="X40" s="3"/>
      <c r="Y40" s="3"/>
      <c r="Z40" s="3"/>
      <c r="AA40" s="3"/>
      <c r="AB40" s="4"/>
      <c r="AT40" s="15"/>
    </row>
    <row r="41" spans="3:46">
      <c r="C41" s="14"/>
      <c r="F41" s="76"/>
      <c r="H41" s="15"/>
      <c r="I41" s="23" t="s">
        <v>71</v>
      </c>
      <c r="J41" s="3"/>
      <c r="K41" s="3"/>
      <c r="L41" s="3"/>
      <c r="M41" s="3"/>
      <c r="N41" s="3"/>
      <c r="O41" s="4"/>
      <c r="S41" s="76"/>
      <c r="U41" s="15"/>
      <c r="V41" s="23" t="s">
        <v>55</v>
      </c>
      <c r="W41" s="3"/>
      <c r="X41" s="3"/>
      <c r="Y41" s="3"/>
      <c r="Z41" s="3"/>
      <c r="AA41" s="3"/>
      <c r="AB41" s="4"/>
      <c r="AT41" s="15"/>
    </row>
    <row r="42" spans="3:46">
      <c r="C42" s="14"/>
      <c r="F42" s="76"/>
      <c r="H42" s="15"/>
      <c r="I42" s="23" t="s">
        <v>163</v>
      </c>
      <c r="J42" s="3"/>
      <c r="K42" s="3"/>
      <c r="L42" s="3"/>
      <c r="M42" s="3"/>
      <c r="N42" s="3"/>
      <c r="O42" s="4"/>
      <c r="S42" s="76"/>
      <c r="U42" s="15"/>
      <c r="V42" s="23" t="s">
        <v>165</v>
      </c>
      <c r="W42" s="3"/>
      <c r="X42" s="3"/>
      <c r="Y42" s="3"/>
      <c r="Z42" s="3"/>
      <c r="AA42" s="3"/>
      <c r="AB42" s="4"/>
      <c r="AT42" s="15"/>
    </row>
    <row r="43" spans="3:46">
      <c r="C43" s="14"/>
      <c r="F43" s="76"/>
      <c r="H43" s="15"/>
      <c r="I43" s="23" t="s">
        <v>64</v>
      </c>
      <c r="J43" s="3"/>
      <c r="K43" s="3"/>
      <c r="L43" s="3"/>
      <c r="M43" s="3"/>
      <c r="N43" s="3"/>
      <c r="O43" s="4"/>
      <c r="S43" s="76"/>
      <c r="U43" s="15"/>
      <c r="V43" s="23" t="s">
        <v>57</v>
      </c>
      <c r="W43" s="3"/>
      <c r="X43" s="3"/>
      <c r="Y43" s="3"/>
      <c r="Z43" s="3"/>
      <c r="AA43" s="3"/>
      <c r="AB43" s="4"/>
      <c r="AT43" s="15"/>
    </row>
    <row r="44" spans="3:46">
      <c r="C44" s="14"/>
      <c r="F44" s="76"/>
      <c r="H44" s="15"/>
      <c r="I44" s="23" t="s">
        <v>69</v>
      </c>
      <c r="J44" s="3"/>
      <c r="K44" s="3"/>
      <c r="L44" s="3"/>
      <c r="M44" s="3"/>
      <c r="N44" s="3"/>
      <c r="O44" s="4"/>
      <c r="S44" s="77"/>
      <c r="T44" s="17"/>
      <c r="U44" s="18"/>
      <c r="V44" s="23" t="s">
        <v>166</v>
      </c>
      <c r="W44" s="3"/>
      <c r="X44" s="3"/>
      <c r="Y44" s="3"/>
      <c r="Z44" s="3"/>
      <c r="AA44" s="3"/>
      <c r="AB44" s="4"/>
      <c r="AT44" s="15"/>
    </row>
    <row r="45" spans="3:46">
      <c r="C45" s="14"/>
      <c r="F45" s="77"/>
      <c r="G45" s="17"/>
      <c r="H45" s="18"/>
      <c r="I45" s="23" t="s">
        <v>70</v>
      </c>
      <c r="J45" s="3"/>
      <c r="K45" s="3"/>
      <c r="L45" s="3"/>
      <c r="M45" s="3"/>
      <c r="N45" s="3"/>
      <c r="O45" s="4"/>
      <c r="AT45" s="15"/>
    </row>
    <row r="46" spans="3:46">
      <c r="C46" s="14"/>
      <c r="F46" s="31" t="s">
        <v>115</v>
      </c>
      <c r="G46" s="3"/>
      <c r="H46" s="4"/>
      <c r="I46" s="23" t="s">
        <v>116</v>
      </c>
      <c r="J46" s="3"/>
      <c r="K46" s="3"/>
      <c r="L46" s="3"/>
      <c r="M46" s="3"/>
      <c r="N46" s="3"/>
      <c r="O46" s="4"/>
      <c r="AT46" s="15"/>
    </row>
    <row r="47" spans="3:46">
      <c r="C47" s="14"/>
      <c r="AT47" s="15"/>
    </row>
    <row r="48" spans="3:46">
      <c r="C48" s="14"/>
      <c r="AT48" s="15"/>
    </row>
    <row r="49" spans="2:46">
      <c r="C49" s="14"/>
      <c r="AT49" s="15"/>
    </row>
    <row r="50" spans="2:46">
      <c r="C50" s="16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8"/>
    </row>
    <row r="52" spans="2:46">
      <c r="B52" s="1" t="s">
        <v>13</v>
      </c>
    </row>
  </sheetData>
  <phoneticPr fontId="2"/>
  <pageMargins left="0.70866141732283472" right="0.70866141732283472" top="0.74803149606299213" bottom="0.7480314960629921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95816-D5E2-4B43-96C1-78ACB7AFC4BF}">
  <sheetPr>
    <pageSetUpPr fitToPage="1"/>
  </sheetPr>
  <dimension ref="A1:D41"/>
  <sheetViews>
    <sheetView showGridLines="0" zoomScale="115" zoomScaleNormal="115" workbookViewId="0"/>
  </sheetViews>
  <sheetFormatPr defaultColWidth="3.125" defaultRowHeight="15"/>
  <cols>
    <col min="1" max="1" width="3.125" style="1"/>
    <col min="2" max="2" width="5.5" style="1" bestFit="1" customWidth="1"/>
    <col min="3" max="3" width="19.625" style="1" customWidth="1"/>
    <col min="4" max="4" width="52.5" style="1" bestFit="1" customWidth="1"/>
    <col min="5" max="16384" width="3.125" style="1"/>
  </cols>
  <sheetData>
    <row r="1" spans="1:4">
      <c r="A1" s="1" t="s">
        <v>16</v>
      </c>
    </row>
    <row r="2" spans="1:4">
      <c r="B2" s="8" t="s">
        <v>14</v>
      </c>
      <c r="C2" s="24" t="s">
        <v>17</v>
      </c>
      <c r="D2" s="24" t="s">
        <v>18</v>
      </c>
    </row>
    <row r="3" spans="1:4">
      <c r="B3" s="2" t="s">
        <v>19</v>
      </c>
      <c r="C3" s="23" t="s">
        <v>20</v>
      </c>
      <c r="D3" s="23" t="s">
        <v>21</v>
      </c>
    </row>
    <row r="4" spans="1:4">
      <c r="B4" s="2" t="s">
        <v>22</v>
      </c>
      <c r="C4" s="23" t="s">
        <v>23</v>
      </c>
      <c r="D4" s="23" t="s">
        <v>24</v>
      </c>
    </row>
    <row r="5" spans="1:4">
      <c r="B5" s="2" t="s">
        <v>119</v>
      </c>
      <c r="C5" s="23" t="s">
        <v>118</v>
      </c>
      <c r="D5" s="23" t="s">
        <v>120</v>
      </c>
    </row>
    <row r="6" spans="1:4">
      <c r="B6" s="2" t="s">
        <v>25</v>
      </c>
      <c r="C6" s="23" t="s">
        <v>26</v>
      </c>
      <c r="D6" s="23" t="s">
        <v>27</v>
      </c>
    </row>
    <row r="7" spans="1:4">
      <c r="B7" s="2" t="s">
        <v>28</v>
      </c>
      <c r="C7" s="23" t="s">
        <v>29</v>
      </c>
      <c r="D7" s="23" t="s">
        <v>30</v>
      </c>
    </row>
    <row r="8" spans="1:4" ht="17.649999999999999">
      <c r="B8"/>
      <c r="C8"/>
      <c r="D8"/>
    </row>
    <row r="9" spans="1:4" ht="17.649999999999999">
      <c r="B9"/>
      <c r="C9"/>
      <c r="D9"/>
    </row>
    <row r="10" spans="1:4" ht="17.649999999999999">
      <c r="B10"/>
      <c r="C10"/>
      <c r="D10"/>
    </row>
    <row r="11" spans="1:4" ht="17.649999999999999">
      <c r="B11"/>
      <c r="C11"/>
      <c r="D11"/>
    </row>
    <row r="12" spans="1:4" ht="17.649999999999999">
      <c r="B12"/>
      <c r="C12"/>
      <c r="D12"/>
    </row>
    <row r="13" spans="1:4" ht="17.649999999999999">
      <c r="B13"/>
      <c r="C13"/>
      <c r="D13"/>
    </row>
    <row r="14" spans="1:4" ht="17.649999999999999">
      <c r="B14"/>
      <c r="C14"/>
      <c r="D14"/>
    </row>
    <row r="15" spans="1:4" ht="17.649999999999999">
      <c r="B15"/>
      <c r="C15"/>
      <c r="D15"/>
    </row>
    <row r="16" spans="1:4" ht="17.649999999999999">
      <c r="B16"/>
      <c r="C16"/>
      <c r="D16"/>
    </row>
    <row r="17" spans="2:4" ht="17.649999999999999">
      <c r="B17"/>
      <c r="C17"/>
      <c r="D17"/>
    </row>
    <row r="18" spans="2:4" ht="17.649999999999999">
      <c r="B18"/>
      <c r="C18"/>
      <c r="D18"/>
    </row>
    <row r="19" spans="2:4" ht="17.649999999999999">
      <c r="B19"/>
      <c r="C19"/>
      <c r="D19"/>
    </row>
    <row r="20" spans="2:4" ht="17.649999999999999">
      <c r="B20"/>
      <c r="C20"/>
      <c r="D20"/>
    </row>
    <row r="21" spans="2:4" ht="17.649999999999999">
      <c r="B21"/>
      <c r="C21"/>
      <c r="D21"/>
    </row>
    <row r="22" spans="2:4" ht="17.649999999999999">
      <c r="B22"/>
      <c r="C22"/>
      <c r="D22"/>
    </row>
    <row r="23" spans="2:4" ht="17.649999999999999">
      <c r="B23"/>
      <c r="C23"/>
      <c r="D23"/>
    </row>
    <row r="24" spans="2:4" ht="17.649999999999999">
      <c r="B24"/>
      <c r="C24"/>
      <c r="D24"/>
    </row>
    <row r="25" spans="2:4" ht="17.649999999999999">
      <c r="B25"/>
      <c r="C25"/>
      <c r="D25"/>
    </row>
    <row r="26" spans="2:4" ht="17.649999999999999">
      <c r="B26"/>
      <c r="C26"/>
      <c r="D26"/>
    </row>
    <row r="27" spans="2:4" ht="17.649999999999999">
      <c r="B27"/>
      <c r="C27"/>
      <c r="D27"/>
    </row>
    <row r="28" spans="2:4" ht="17.649999999999999">
      <c r="B28"/>
      <c r="C28"/>
      <c r="D28"/>
    </row>
    <row r="29" spans="2:4" ht="17.649999999999999">
      <c r="B29"/>
      <c r="C29"/>
      <c r="D29"/>
    </row>
    <row r="30" spans="2:4" ht="17.649999999999999">
      <c r="B30"/>
      <c r="C30"/>
      <c r="D30"/>
    </row>
    <row r="31" spans="2:4" ht="17.649999999999999">
      <c r="B31"/>
      <c r="C31"/>
      <c r="D31"/>
    </row>
    <row r="32" spans="2:4" ht="17.649999999999999">
      <c r="B32"/>
      <c r="C32"/>
      <c r="D32"/>
    </row>
    <row r="33" spans="2:4" ht="17.649999999999999">
      <c r="B33"/>
      <c r="C33"/>
      <c r="D33"/>
    </row>
    <row r="34" spans="2:4" ht="17.649999999999999">
      <c r="B34"/>
      <c r="C34"/>
      <c r="D34"/>
    </row>
    <row r="35" spans="2:4" ht="17.649999999999999">
      <c r="B35"/>
      <c r="C35"/>
      <c r="D35"/>
    </row>
    <row r="36" spans="2:4" ht="17.649999999999999">
      <c r="B36"/>
      <c r="C36"/>
      <c r="D36"/>
    </row>
    <row r="37" spans="2:4" ht="17.649999999999999">
      <c r="B37"/>
      <c r="C37"/>
      <c r="D37"/>
    </row>
    <row r="38" spans="2:4" ht="17.649999999999999">
      <c r="B38"/>
      <c r="C38"/>
      <c r="D38"/>
    </row>
    <row r="39" spans="2:4" ht="17.649999999999999">
      <c r="B39"/>
      <c r="C39"/>
      <c r="D39"/>
    </row>
    <row r="40" spans="2:4" ht="17.649999999999999">
      <c r="B40"/>
      <c r="C40"/>
      <c r="D40"/>
    </row>
    <row r="41" spans="2:4" ht="17.649999999999999">
      <c r="B41"/>
      <c r="C41"/>
      <c r="D41"/>
    </row>
  </sheetData>
  <phoneticPr fontId="2"/>
  <pageMargins left="0.70866141732283472" right="0.70866141732283472" top="0.74803149606299213" bottom="0.74803149606299213" header="0.31496062992125984" footer="0.31496062992125984"/>
  <pageSetup paperSize="9" scale="9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157E1-48E7-4078-8026-032CE7DD3BB3}">
  <sheetPr>
    <pageSetUpPr fitToPage="1"/>
  </sheetPr>
  <dimension ref="A1:H85"/>
  <sheetViews>
    <sheetView showGridLines="0" tabSelected="1" topLeftCell="A31" zoomScale="60" zoomScaleNormal="60" workbookViewId="0">
      <selection activeCell="G47" sqref="G47"/>
    </sheetView>
  </sheetViews>
  <sheetFormatPr defaultColWidth="3.125" defaultRowHeight="15"/>
  <cols>
    <col min="1" max="1" width="3.125" style="26"/>
    <col min="2" max="2" width="6.75" style="25" customWidth="1"/>
    <col min="3" max="3" width="15.875" style="25" bestFit="1" customWidth="1"/>
    <col min="4" max="4" width="49.4375" style="25" bestFit="1" customWidth="1"/>
    <col min="5" max="5" width="21.75" style="25" customWidth="1"/>
    <col min="6" max="6" width="49.4375" style="25" bestFit="1" customWidth="1"/>
    <col min="7" max="7" width="71.5" style="25" customWidth="1"/>
    <col min="8" max="8" width="63.625" style="25" bestFit="1" customWidth="1"/>
    <col min="9" max="16384" width="3.125" style="1"/>
  </cols>
  <sheetData>
    <row r="1" spans="1:8">
      <c r="A1" s="1" t="s">
        <v>31</v>
      </c>
    </row>
    <row r="2" spans="1:8">
      <c r="A2" s="26">
        <v>1</v>
      </c>
      <c r="B2" s="25" t="str">
        <f ca="1">OFFSET(TB一覧!$B$3,TB定義!A2-1,0)</f>
        <v>M01</v>
      </c>
      <c r="C2" s="25" t="str">
        <f ca="1">OFFSET(TB一覧!$B$3,TB定義!A2-1,1)</f>
        <v>mst_ライン一覧</v>
      </c>
    </row>
    <row r="3" spans="1:8">
      <c r="B3" s="27" t="s">
        <v>32</v>
      </c>
      <c r="C3" s="28"/>
      <c r="D3" s="29"/>
      <c r="E3" s="27" t="s">
        <v>33</v>
      </c>
      <c r="F3" s="28"/>
      <c r="G3" s="28"/>
      <c r="H3" s="29"/>
    </row>
    <row r="4" spans="1:8">
      <c r="B4" s="27" t="s">
        <v>14</v>
      </c>
      <c r="C4" s="27" t="s">
        <v>34</v>
      </c>
      <c r="D4" s="27" t="s">
        <v>35</v>
      </c>
      <c r="E4" s="27" t="s">
        <v>36</v>
      </c>
      <c r="F4" s="27" t="s">
        <v>35</v>
      </c>
      <c r="G4" s="27" t="s">
        <v>37</v>
      </c>
      <c r="H4" s="30" t="s">
        <v>18</v>
      </c>
    </row>
    <row r="5" spans="1:8">
      <c r="B5" s="31">
        <v>1</v>
      </c>
      <c r="C5" s="31" t="s">
        <v>38</v>
      </c>
      <c r="D5" s="31" t="s">
        <v>39</v>
      </c>
      <c r="E5" s="31" t="s">
        <v>40</v>
      </c>
      <c r="F5" s="31" t="s">
        <v>39</v>
      </c>
      <c r="G5" s="32"/>
      <c r="H5" s="33"/>
    </row>
    <row r="6" spans="1:8">
      <c r="B6" s="31">
        <v>2</v>
      </c>
      <c r="C6" s="31" t="s">
        <v>38</v>
      </c>
      <c r="D6" s="31" t="s">
        <v>41</v>
      </c>
      <c r="E6" s="31" t="s">
        <v>40</v>
      </c>
      <c r="F6" s="31" t="s">
        <v>41</v>
      </c>
      <c r="G6" s="34"/>
      <c r="H6" s="33"/>
    </row>
    <row r="7" spans="1:8">
      <c r="B7" s="31">
        <v>3</v>
      </c>
      <c r="C7" s="31" t="s">
        <v>38</v>
      </c>
      <c r="D7" s="31" t="s">
        <v>42</v>
      </c>
      <c r="E7" s="31" t="s">
        <v>40</v>
      </c>
      <c r="F7" s="31" t="s">
        <v>42</v>
      </c>
      <c r="G7" s="34"/>
      <c r="H7" s="33"/>
    </row>
    <row r="8" spans="1:8">
      <c r="B8" s="31">
        <v>4</v>
      </c>
      <c r="C8" s="31" t="s">
        <v>38</v>
      </c>
      <c r="D8" s="31" t="s">
        <v>43</v>
      </c>
      <c r="E8" s="31" t="s">
        <v>40</v>
      </c>
      <c r="F8" s="31" t="s">
        <v>43</v>
      </c>
      <c r="G8" s="34"/>
      <c r="H8" s="33"/>
    </row>
    <row r="10" spans="1:8">
      <c r="A10" s="26">
        <f>A2+1</f>
        <v>2</v>
      </c>
      <c r="B10" s="25" t="str">
        <f ca="1">OFFSET(TB一覧!$B$3,TB定義!A10-1,0)</f>
        <v>M02</v>
      </c>
      <c r="C10" s="25" t="str">
        <f ca="1">OFFSET(TB一覧!$B$3,TB定義!A10-1,1)</f>
        <v>mst_停止要因</v>
      </c>
    </row>
    <row r="11" spans="1:8">
      <c r="B11" s="27" t="s">
        <v>32</v>
      </c>
      <c r="C11" s="28"/>
      <c r="D11" s="29"/>
      <c r="E11" s="27" t="s">
        <v>33</v>
      </c>
      <c r="F11" s="28"/>
      <c r="G11" s="28"/>
      <c r="H11" s="29"/>
    </row>
    <row r="12" spans="1:8">
      <c r="B12" s="27" t="s">
        <v>14</v>
      </c>
      <c r="C12" s="27" t="s">
        <v>34</v>
      </c>
      <c r="D12" s="27" t="s">
        <v>35</v>
      </c>
      <c r="E12" s="27" t="s">
        <v>36</v>
      </c>
      <c r="F12" s="27" t="s">
        <v>35</v>
      </c>
      <c r="G12" s="27" t="s">
        <v>37</v>
      </c>
      <c r="H12" s="30" t="s">
        <v>18</v>
      </c>
    </row>
    <row r="13" spans="1:8">
      <c r="B13" s="31">
        <v>1</v>
      </c>
      <c r="C13" s="31" t="s">
        <v>38</v>
      </c>
      <c r="D13" s="31" t="s">
        <v>44</v>
      </c>
      <c r="E13" s="31" t="s">
        <v>45</v>
      </c>
      <c r="F13" s="31" t="s">
        <v>44</v>
      </c>
      <c r="G13" s="34"/>
      <c r="H13" s="33" t="s">
        <v>46</v>
      </c>
    </row>
    <row r="14" spans="1:8">
      <c r="B14" s="31">
        <v>2</v>
      </c>
      <c r="C14" s="31" t="s">
        <v>38</v>
      </c>
      <c r="D14" s="31" t="s">
        <v>47</v>
      </c>
      <c r="E14" s="31" t="s">
        <v>45</v>
      </c>
      <c r="F14" s="31" t="s">
        <v>48</v>
      </c>
      <c r="G14" s="34"/>
      <c r="H14" s="35"/>
    </row>
    <row r="16" spans="1:8">
      <c r="A16" s="26">
        <f>A10+1</f>
        <v>3</v>
      </c>
      <c r="B16" s="25" t="str">
        <f ca="1">OFFSET(TB一覧!$B$3,TB定義!A16-1,0)</f>
        <v>M03</v>
      </c>
      <c r="C16" s="25" t="str">
        <f ca="1">OFFSET(TB一覧!$B$3,TB定義!A16-1,1)</f>
        <v>Calendar</v>
      </c>
    </row>
    <row r="17" spans="2:8">
      <c r="B17" s="27" t="s">
        <v>32</v>
      </c>
      <c r="C17" s="28"/>
      <c r="D17" s="29"/>
      <c r="E17" s="27" t="s">
        <v>33</v>
      </c>
      <c r="F17" s="28"/>
      <c r="G17" s="28"/>
      <c r="H17" s="29"/>
    </row>
    <row r="18" spans="2:8">
      <c r="B18" s="27" t="s">
        <v>14</v>
      </c>
      <c r="C18" s="27" t="s">
        <v>34</v>
      </c>
      <c r="D18" s="27" t="s">
        <v>35</v>
      </c>
      <c r="E18" s="27" t="s">
        <v>36</v>
      </c>
      <c r="F18" s="27" t="s">
        <v>35</v>
      </c>
      <c r="G18" s="27" t="s">
        <v>37</v>
      </c>
      <c r="H18" s="30" t="s">
        <v>18</v>
      </c>
    </row>
    <row r="19" spans="2:8">
      <c r="B19" s="31">
        <v>1</v>
      </c>
      <c r="C19" s="31" t="s">
        <v>58</v>
      </c>
      <c r="D19" s="31" t="s">
        <v>121</v>
      </c>
      <c r="E19" s="31" t="s">
        <v>135</v>
      </c>
      <c r="F19" s="31" t="s">
        <v>135</v>
      </c>
      <c r="G19" s="32" t="s">
        <v>168</v>
      </c>
      <c r="H19" s="33"/>
    </row>
    <row r="20" spans="2:8">
      <c r="B20" s="31">
        <v>2</v>
      </c>
      <c r="C20" s="31" t="s">
        <v>58</v>
      </c>
      <c r="D20" s="31" t="s">
        <v>122</v>
      </c>
      <c r="E20" s="31" t="s">
        <v>135</v>
      </c>
      <c r="F20" s="31" t="s">
        <v>135</v>
      </c>
      <c r="G20" s="32" t="s">
        <v>169</v>
      </c>
      <c r="H20" s="33"/>
    </row>
    <row r="21" spans="2:8">
      <c r="B21" s="31">
        <v>3</v>
      </c>
      <c r="C21" s="31" t="s">
        <v>58</v>
      </c>
      <c r="D21" s="31" t="s">
        <v>123</v>
      </c>
      <c r="E21" s="31" t="s">
        <v>135</v>
      </c>
      <c r="F21" s="31" t="s">
        <v>135</v>
      </c>
      <c r="G21" s="32" t="s">
        <v>170</v>
      </c>
      <c r="H21" s="33"/>
    </row>
    <row r="22" spans="2:8">
      <c r="B22" s="31">
        <v>4</v>
      </c>
      <c r="C22" s="31" t="s">
        <v>58</v>
      </c>
      <c r="D22" s="31" t="s">
        <v>124</v>
      </c>
      <c r="E22" s="31" t="s">
        <v>135</v>
      </c>
      <c r="F22" s="31" t="s">
        <v>135</v>
      </c>
      <c r="G22" s="32" t="s">
        <v>171</v>
      </c>
      <c r="H22" s="33"/>
    </row>
    <row r="23" spans="2:8">
      <c r="B23" s="31">
        <v>5</v>
      </c>
      <c r="C23" s="31" t="s">
        <v>58</v>
      </c>
      <c r="D23" s="31" t="s">
        <v>125</v>
      </c>
      <c r="E23" s="31" t="s">
        <v>135</v>
      </c>
      <c r="F23" s="31" t="s">
        <v>135</v>
      </c>
      <c r="G23" s="32" t="s">
        <v>172</v>
      </c>
      <c r="H23" s="33"/>
    </row>
    <row r="24" spans="2:8">
      <c r="B24" s="31">
        <v>6</v>
      </c>
      <c r="C24" s="31" t="s">
        <v>58</v>
      </c>
      <c r="D24" s="31" t="s">
        <v>126</v>
      </c>
      <c r="E24" s="31" t="s">
        <v>135</v>
      </c>
      <c r="F24" s="31" t="s">
        <v>135</v>
      </c>
      <c r="G24" s="32" t="s">
        <v>173</v>
      </c>
      <c r="H24" s="33"/>
    </row>
    <row r="25" spans="2:8">
      <c r="B25" s="31">
        <v>7</v>
      </c>
      <c r="C25" s="31" t="s">
        <v>58</v>
      </c>
      <c r="D25" s="31" t="s">
        <v>127</v>
      </c>
      <c r="E25" s="31" t="s">
        <v>135</v>
      </c>
      <c r="F25" s="31" t="s">
        <v>135</v>
      </c>
      <c r="G25" s="32" t="s">
        <v>174</v>
      </c>
      <c r="H25" s="33"/>
    </row>
    <row r="26" spans="2:8">
      <c r="B26" s="31">
        <v>8</v>
      </c>
      <c r="C26" s="31" t="s">
        <v>58</v>
      </c>
      <c r="D26" s="31" t="s">
        <v>128</v>
      </c>
      <c r="E26" s="31" t="s">
        <v>135</v>
      </c>
      <c r="F26" s="31" t="s">
        <v>135</v>
      </c>
      <c r="G26" s="32" t="s">
        <v>175</v>
      </c>
      <c r="H26" s="33"/>
    </row>
    <row r="27" spans="2:8">
      <c r="B27" s="31">
        <v>9</v>
      </c>
      <c r="C27" s="31" t="s">
        <v>58</v>
      </c>
      <c r="D27" s="31" t="s">
        <v>129</v>
      </c>
      <c r="E27" s="31" t="s">
        <v>135</v>
      </c>
      <c r="F27" s="31" t="s">
        <v>135</v>
      </c>
      <c r="G27" s="32" t="s">
        <v>176</v>
      </c>
      <c r="H27" s="33"/>
    </row>
    <row r="28" spans="2:8">
      <c r="B28" s="31">
        <v>10</v>
      </c>
      <c r="C28" s="31" t="s">
        <v>58</v>
      </c>
      <c r="D28" s="31" t="s">
        <v>130</v>
      </c>
      <c r="E28" s="31" t="s">
        <v>135</v>
      </c>
      <c r="F28" s="31" t="s">
        <v>135</v>
      </c>
      <c r="G28" s="32" t="s">
        <v>177</v>
      </c>
      <c r="H28" s="33"/>
    </row>
    <row r="29" spans="2:8">
      <c r="B29" s="31">
        <v>11</v>
      </c>
      <c r="C29" s="31" t="s">
        <v>58</v>
      </c>
      <c r="D29" s="31" t="s">
        <v>131</v>
      </c>
      <c r="E29" s="31" t="s">
        <v>135</v>
      </c>
      <c r="F29" s="31" t="s">
        <v>135</v>
      </c>
      <c r="G29" s="32" t="s">
        <v>178</v>
      </c>
      <c r="H29" s="33"/>
    </row>
    <row r="30" spans="2:8">
      <c r="B30" s="31">
        <v>12</v>
      </c>
      <c r="C30" s="31" t="s">
        <v>58</v>
      </c>
      <c r="D30" s="31" t="s">
        <v>132</v>
      </c>
      <c r="E30" s="31" t="s">
        <v>135</v>
      </c>
      <c r="F30" s="31" t="s">
        <v>135</v>
      </c>
      <c r="G30" s="32" t="s">
        <v>179</v>
      </c>
      <c r="H30" s="33"/>
    </row>
    <row r="31" spans="2:8">
      <c r="B31" s="31">
        <v>13</v>
      </c>
      <c r="C31" s="31" t="s">
        <v>58</v>
      </c>
      <c r="D31" s="31" t="s">
        <v>133</v>
      </c>
      <c r="E31" s="31" t="s">
        <v>135</v>
      </c>
      <c r="F31" s="31" t="s">
        <v>135</v>
      </c>
      <c r="G31" s="32" t="s">
        <v>180</v>
      </c>
      <c r="H31" s="33"/>
    </row>
    <row r="32" spans="2:8">
      <c r="B32" s="31">
        <v>14</v>
      </c>
      <c r="C32" s="31" t="s">
        <v>58</v>
      </c>
      <c r="D32" s="31" t="s">
        <v>134</v>
      </c>
      <c r="E32" s="31" t="s">
        <v>135</v>
      </c>
      <c r="F32" s="31" t="s">
        <v>135</v>
      </c>
      <c r="G32" s="32" t="s">
        <v>181</v>
      </c>
      <c r="H32" s="35"/>
    </row>
    <row r="34" spans="1:8">
      <c r="A34" s="26">
        <f>A16+1</f>
        <v>4</v>
      </c>
      <c r="B34" s="25" t="str">
        <f ca="1">OFFSET(TB一覧!$B$3,TB定義!A34-1,0)</f>
        <v>T01</v>
      </c>
      <c r="C34" s="25" t="str">
        <f ca="1">OFFSET(TB一覧!$B$3,TB定義!A34-1,1)</f>
        <v>STOP_LOG</v>
      </c>
    </row>
    <row r="35" spans="1:8">
      <c r="B35" s="27" t="s">
        <v>32</v>
      </c>
      <c r="C35" s="28"/>
      <c r="D35" s="29"/>
      <c r="E35" s="27" t="s">
        <v>33</v>
      </c>
      <c r="F35" s="28"/>
      <c r="G35" s="28"/>
      <c r="H35" s="29"/>
    </row>
    <row r="36" spans="1:8">
      <c r="B36" s="27" t="s">
        <v>14</v>
      </c>
      <c r="C36" s="27" t="s">
        <v>34</v>
      </c>
      <c r="D36" s="27" t="s">
        <v>35</v>
      </c>
      <c r="E36" s="27" t="s">
        <v>36</v>
      </c>
      <c r="F36" s="27" t="s">
        <v>35</v>
      </c>
      <c r="G36" s="27" t="s">
        <v>37</v>
      </c>
      <c r="H36" s="30" t="s">
        <v>18</v>
      </c>
    </row>
    <row r="37" spans="1:8">
      <c r="B37" s="31">
        <v>1</v>
      </c>
      <c r="C37" s="31" t="s">
        <v>38</v>
      </c>
      <c r="D37" s="31" t="s">
        <v>60</v>
      </c>
      <c r="E37" s="31" t="s">
        <v>182</v>
      </c>
      <c r="F37" s="31" t="s">
        <v>60</v>
      </c>
      <c r="G37" s="36" t="s">
        <v>51</v>
      </c>
      <c r="H37" s="37"/>
    </row>
    <row r="38" spans="1:8">
      <c r="B38" s="31">
        <v>2</v>
      </c>
      <c r="C38" s="31" t="s">
        <v>38</v>
      </c>
      <c r="D38" s="31" t="s">
        <v>49</v>
      </c>
      <c r="E38" s="31" t="s">
        <v>182</v>
      </c>
      <c r="F38" s="31" t="s">
        <v>50</v>
      </c>
      <c r="G38" s="36" t="s">
        <v>51</v>
      </c>
      <c r="H38" s="37"/>
    </row>
    <row r="39" spans="1:8">
      <c r="B39" s="31">
        <v>3</v>
      </c>
      <c r="C39" s="31" t="s">
        <v>38</v>
      </c>
      <c r="D39" s="31" t="s">
        <v>0</v>
      </c>
      <c r="E39" s="31" t="s">
        <v>182</v>
      </c>
      <c r="F39" s="31" t="s">
        <v>0</v>
      </c>
      <c r="G39" s="36" t="s">
        <v>51</v>
      </c>
      <c r="H39" s="37"/>
    </row>
    <row r="40" spans="1:8">
      <c r="B40" s="31">
        <v>4</v>
      </c>
      <c r="C40" s="31" t="s">
        <v>38</v>
      </c>
      <c r="D40" s="32" t="s">
        <v>52</v>
      </c>
      <c r="E40" s="32" t="s">
        <v>182</v>
      </c>
      <c r="F40" s="32" t="s">
        <v>52</v>
      </c>
      <c r="G40" s="36" t="s">
        <v>51</v>
      </c>
      <c r="H40" s="37"/>
    </row>
    <row r="41" spans="1:8">
      <c r="B41" s="31">
        <v>5</v>
      </c>
      <c r="C41" s="31" t="s">
        <v>38</v>
      </c>
      <c r="D41" s="32" t="s">
        <v>53</v>
      </c>
      <c r="E41" s="32" t="s">
        <v>182</v>
      </c>
      <c r="F41" s="32" t="s">
        <v>53</v>
      </c>
      <c r="G41" s="36" t="s">
        <v>51</v>
      </c>
      <c r="H41" s="37" t="s">
        <v>53</v>
      </c>
    </row>
    <row r="42" spans="1:8">
      <c r="B42" s="31">
        <v>6</v>
      </c>
      <c r="C42" s="31" t="s">
        <v>38</v>
      </c>
      <c r="D42" s="32" t="s">
        <v>54</v>
      </c>
      <c r="E42" s="32" t="s">
        <v>182</v>
      </c>
      <c r="F42" s="32" t="s">
        <v>54</v>
      </c>
      <c r="G42" s="36" t="s">
        <v>51</v>
      </c>
      <c r="H42" s="37"/>
    </row>
    <row r="43" spans="1:8">
      <c r="B43" s="31">
        <v>7</v>
      </c>
      <c r="C43" s="31" t="s">
        <v>58</v>
      </c>
      <c r="D43" s="31" t="s">
        <v>56</v>
      </c>
      <c r="E43" s="31" t="s">
        <v>182</v>
      </c>
      <c r="F43" s="36" t="s">
        <v>51</v>
      </c>
      <c r="G43" s="36" t="s">
        <v>183</v>
      </c>
      <c r="H43" s="37" t="s">
        <v>88</v>
      </c>
    </row>
    <row r="44" spans="1:8" ht="165">
      <c r="B44" s="31">
        <v>8</v>
      </c>
      <c r="C44" s="31" t="s">
        <v>58</v>
      </c>
      <c r="D44" s="31" t="s">
        <v>64</v>
      </c>
      <c r="E44" s="31" t="s">
        <v>182</v>
      </c>
      <c r="F44" s="36" t="s">
        <v>51</v>
      </c>
      <c r="G44" s="38" t="s">
        <v>193</v>
      </c>
      <c r="H44" s="37" t="s">
        <v>86</v>
      </c>
    </row>
    <row r="45" spans="1:8" ht="135">
      <c r="B45" s="31">
        <v>9</v>
      </c>
      <c r="C45" s="31" t="s">
        <v>58</v>
      </c>
      <c r="D45" s="31" t="s">
        <v>55</v>
      </c>
      <c r="E45" s="31" t="s">
        <v>182</v>
      </c>
      <c r="F45" s="36" t="s">
        <v>51</v>
      </c>
      <c r="G45" s="38" t="s">
        <v>192</v>
      </c>
      <c r="H45" s="37" t="s">
        <v>89</v>
      </c>
    </row>
    <row r="46" spans="1:8" ht="75">
      <c r="B46" s="31">
        <v>10</v>
      </c>
      <c r="C46" s="31" t="s">
        <v>58</v>
      </c>
      <c r="D46" s="31" t="s">
        <v>61</v>
      </c>
      <c r="E46" s="31" t="s">
        <v>182</v>
      </c>
      <c r="F46" s="36" t="s">
        <v>51</v>
      </c>
      <c r="G46" s="38" t="s">
        <v>184</v>
      </c>
      <c r="H46" s="37" t="s">
        <v>87</v>
      </c>
    </row>
    <row r="47" spans="1:8" ht="135">
      <c r="B47" s="31">
        <v>11</v>
      </c>
      <c r="C47" s="31" t="s">
        <v>58</v>
      </c>
      <c r="D47" s="31" t="s">
        <v>57</v>
      </c>
      <c r="E47" s="31" t="s">
        <v>182</v>
      </c>
      <c r="F47" s="36" t="s">
        <v>51</v>
      </c>
      <c r="G47" s="38" t="s">
        <v>194</v>
      </c>
      <c r="H47" s="37" t="s">
        <v>186</v>
      </c>
    </row>
    <row r="48" spans="1:8">
      <c r="B48" s="31">
        <v>12</v>
      </c>
      <c r="C48" s="31" t="s">
        <v>58</v>
      </c>
      <c r="D48" s="31" t="s">
        <v>62</v>
      </c>
      <c r="E48" s="31" t="s">
        <v>182</v>
      </c>
      <c r="F48" s="36" t="s">
        <v>51</v>
      </c>
      <c r="G48" s="36" t="s">
        <v>185</v>
      </c>
      <c r="H48" s="42" t="s">
        <v>90</v>
      </c>
    </row>
    <row r="49" spans="1:8">
      <c r="B49" s="31">
        <v>13</v>
      </c>
      <c r="C49" s="31" t="s">
        <v>115</v>
      </c>
      <c r="D49" s="31" t="s">
        <v>167</v>
      </c>
      <c r="E49" s="31" t="s">
        <v>182</v>
      </c>
      <c r="F49" s="36" t="s">
        <v>51</v>
      </c>
      <c r="G49" s="36" t="s">
        <v>187</v>
      </c>
      <c r="H49" s="42"/>
    </row>
    <row r="51" spans="1:8">
      <c r="A51" s="26">
        <f>A34+1</f>
        <v>5</v>
      </c>
      <c r="B51" s="25" t="str">
        <f ca="1">OFFSET(TB一覧!$B$3,TB定義!A51-1,0)</f>
        <v>T02</v>
      </c>
      <c r="C51" s="25" t="str">
        <f ca="1">OFFSET(TB一覧!$B$3,TB定義!A51-1,1)</f>
        <v>PROD_LOG</v>
      </c>
    </row>
    <row r="52" spans="1:8">
      <c r="B52" s="27" t="s">
        <v>32</v>
      </c>
      <c r="C52" s="28"/>
      <c r="D52" s="29"/>
      <c r="E52" s="27" t="s">
        <v>33</v>
      </c>
      <c r="F52" s="28"/>
      <c r="G52" s="28"/>
      <c r="H52" s="29"/>
    </row>
    <row r="53" spans="1:8">
      <c r="B53" s="27" t="s">
        <v>14</v>
      </c>
      <c r="C53" s="27" t="s">
        <v>34</v>
      </c>
      <c r="D53" s="27" t="s">
        <v>35</v>
      </c>
      <c r="E53" s="27" t="s">
        <v>36</v>
      </c>
      <c r="F53" s="27" t="s">
        <v>35</v>
      </c>
      <c r="G53" s="27" t="s">
        <v>37</v>
      </c>
      <c r="H53" s="30" t="s">
        <v>18</v>
      </c>
    </row>
    <row r="54" spans="1:8">
      <c r="B54" s="31">
        <v>1</v>
      </c>
      <c r="C54" s="31" t="s">
        <v>38</v>
      </c>
      <c r="D54" s="32" t="s">
        <v>60</v>
      </c>
      <c r="E54" s="32" t="s">
        <v>188</v>
      </c>
      <c r="F54" s="32" t="s">
        <v>60</v>
      </c>
      <c r="G54" s="36" t="s">
        <v>51</v>
      </c>
      <c r="H54" s="37"/>
    </row>
    <row r="55" spans="1:8">
      <c r="B55" s="31">
        <v>2</v>
      </c>
      <c r="C55" s="31" t="s">
        <v>38</v>
      </c>
      <c r="D55" s="31" t="s">
        <v>49</v>
      </c>
      <c r="E55" s="31" t="s">
        <v>182</v>
      </c>
      <c r="F55" s="31" t="s">
        <v>50</v>
      </c>
      <c r="G55" s="36" t="s">
        <v>51</v>
      </c>
      <c r="H55" s="37"/>
    </row>
    <row r="56" spans="1:8">
      <c r="B56" s="31">
        <v>3</v>
      </c>
      <c r="C56" s="31" t="s">
        <v>38</v>
      </c>
      <c r="D56" s="32" t="s">
        <v>0</v>
      </c>
      <c r="E56" s="32" t="s">
        <v>188</v>
      </c>
      <c r="F56" s="32" t="s">
        <v>65</v>
      </c>
      <c r="G56" s="36" t="s">
        <v>51</v>
      </c>
      <c r="H56" s="37"/>
    </row>
    <row r="57" spans="1:8">
      <c r="B57" s="31">
        <v>4</v>
      </c>
      <c r="C57" s="31" t="s">
        <v>38</v>
      </c>
      <c r="D57" s="32" t="s">
        <v>66</v>
      </c>
      <c r="E57" s="32" t="s">
        <v>188</v>
      </c>
      <c r="F57" s="32" t="s">
        <v>66</v>
      </c>
      <c r="G57" s="36" t="s">
        <v>51</v>
      </c>
      <c r="H57" s="37"/>
    </row>
    <row r="58" spans="1:8">
      <c r="B58" s="31">
        <v>5</v>
      </c>
      <c r="C58" s="31" t="s">
        <v>38</v>
      </c>
      <c r="D58" s="32" t="s">
        <v>63</v>
      </c>
      <c r="E58" s="32" t="s">
        <v>188</v>
      </c>
      <c r="F58" s="32" t="s">
        <v>63</v>
      </c>
      <c r="G58" s="36" t="s">
        <v>51</v>
      </c>
      <c r="H58" s="39"/>
    </row>
    <row r="59" spans="1:8" s="40" customFormat="1">
      <c r="B59" s="31">
        <v>6</v>
      </c>
      <c r="C59" s="32" t="s">
        <v>38</v>
      </c>
      <c r="D59" s="32" t="s">
        <v>67</v>
      </c>
      <c r="E59" s="32" t="s">
        <v>188</v>
      </c>
      <c r="F59" s="32" t="s">
        <v>67</v>
      </c>
      <c r="G59" s="41" t="s">
        <v>51</v>
      </c>
      <c r="H59" s="33"/>
    </row>
    <row r="60" spans="1:8" s="40" customFormat="1">
      <c r="B60" s="31">
        <v>7</v>
      </c>
      <c r="C60" s="32" t="s">
        <v>38</v>
      </c>
      <c r="D60" s="32" t="s">
        <v>68</v>
      </c>
      <c r="E60" s="32" t="s">
        <v>188</v>
      </c>
      <c r="F60" s="32" t="s">
        <v>1</v>
      </c>
      <c r="G60" s="41" t="s">
        <v>51</v>
      </c>
      <c r="H60" s="33"/>
    </row>
    <row r="61" spans="1:8" s="40" customFormat="1">
      <c r="B61" s="31">
        <v>8</v>
      </c>
      <c r="C61" s="32" t="s">
        <v>38</v>
      </c>
      <c r="D61" s="32" t="s">
        <v>2</v>
      </c>
      <c r="E61" s="32" t="s">
        <v>188</v>
      </c>
      <c r="F61" s="32" t="s">
        <v>2</v>
      </c>
      <c r="G61" s="41" t="s">
        <v>51</v>
      </c>
      <c r="H61" s="33"/>
    </row>
    <row r="62" spans="1:8" s="40" customFormat="1">
      <c r="B62" s="31">
        <v>9</v>
      </c>
      <c r="C62" s="32" t="s">
        <v>38</v>
      </c>
      <c r="D62" s="32" t="s">
        <v>3</v>
      </c>
      <c r="E62" s="32" t="s">
        <v>188</v>
      </c>
      <c r="F62" s="32" t="s">
        <v>3</v>
      </c>
      <c r="G62" s="41" t="s">
        <v>51</v>
      </c>
      <c r="H62" s="33"/>
    </row>
    <row r="63" spans="1:8" s="40" customFormat="1">
      <c r="B63" s="31">
        <v>10</v>
      </c>
      <c r="C63" s="32" t="s">
        <v>38</v>
      </c>
      <c r="D63" s="32" t="s">
        <v>4</v>
      </c>
      <c r="E63" s="32" t="s">
        <v>188</v>
      </c>
      <c r="F63" s="32" t="s">
        <v>4</v>
      </c>
      <c r="G63" s="41" t="s">
        <v>51</v>
      </c>
      <c r="H63" s="33"/>
    </row>
    <row r="64" spans="1:8" s="40" customFormat="1">
      <c r="B64" s="31">
        <v>11</v>
      </c>
      <c r="C64" s="32" t="s">
        <v>38</v>
      </c>
      <c r="D64" s="32" t="s">
        <v>5</v>
      </c>
      <c r="E64" s="32" t="s">
        <v>188</v>
      </c>
      <c r="F64" s="32" t="s">
        <v>5</v>
      </c>
      <c r="G64" s="41" t="s">
        <v>51</v>
      </c>
      <c r="H64" s="33"/>
    </row>
    <row r="65" spans="2:8" s="40" customFormat="1">
      <c r="B65" s="31">
        <v>12</v>
      </c>
      <c r="C65" s="32" t="s">
        <v>38</v>
      </c>
      <c r="D65" s="32" t="s">
        <v>6</v>
      </c>
      <c r="E65" s="32" t="s">
        <v>188</v>
      </c>
      <c r="F65" s="32" t="s">
        <v>6</v>
      </c>
      <c r="G65" s="41" t="s">
        <v>51</v>
      </c>
      <c r="H65" s="33"/>
    </row>
    <row r="66" spans="2:8" s="40" customFormat="1">
      <c r="B66" s="31">
        <v>13</v>
      </c>
      <c r="C66" s="32" t="s">
        <v>38</v>
      </c>
      <c r="D66" s="32" t="s">
        <v>7</v>
      </c>
      <c r="E66" s="32" t="s">
        <v>188</v>
      </c>
      <c r="F66" s="32" t="s">
        <v>7</v>
      </c>
      <c r="G66" s="41" t="s">
        <v>51</v>
      </c>
      <c r="H66" s="33"/>
    </row>
    <row r="67" spans="2:8" s="40" customFormat="1">
      <c r="B67" s="31">
        <v>14</v>
      </c>
      <c r="C67" s="32" t="s">
        <v>38</v>
      </c>
      <c r="D67" s="32" t="s">
        <v>8</v>
      </c>
      <c r="E67" s="32" t="s">
        <v>188</v>
      </c>
      <c r="F67" s="32" t="s">
        <v>8</v>
      </c>
      <c r="G67" s="41" t="s">
        <v>51</v>
      </c>
      <c r="H67" s="33"/>
    </row>
    <row r="68" spans="2:8" s="40" customFormat="1">
      <c r="B68" s="31">
        <v>15</v>
      </c>
      <c r="C68" s="32" t="s">
        <v>38</v>
      </c>
      <c r="D68" s="32" t="s">
        <v>9</v>
      </c>
      <c r="E68" s="32" t="s">
        <v>188</v>
      </c>
      <c r="F68" s="32" t="s">
        <v>9</v>
      </c>
      <c r="G68" s="41" t="s">
        <v>51</v>
      </c>
      <c r="H68" s="33"/>
    </row>
    <row r="69" spans="2:8">
      <c r="B69" s="31">
        <v>16</v>
      </c>
      <c r="C69" s="31" t="s">
        <v>58</v>
      </c>
      <c r="D69" s="32" t="s">
        <v>56</v>
      </c>
      <c r="E69" s="32" t="s">
        <v>188</v>
      </c>
      <c r="F69" s="36" t="s">
        <v>51</v>
      </c>
      <c r="G69" s="36" t="s">
        <v>183</v>
      </c>
      <c r="H69" s="37" t="s">
        <v>88</v>
      </c>
    </row>
    <row r="70" spans="2:8">
      <c r="B70" s="31">
        <v>17</v>
      </c>
      <c r="C70" s="31" t="s">
        <v>58</v>
      </c>
      <c r="D70" s="32" t="s">
        <v>71</v>
      </c>
      <c r="E70" s="32" t="s">
        <v>188</v>
      </c>
      <c r="F70" s="36" t="s">
        <v>51</v>
      </c>
      <c r="G70" s="36" t="s">
        <v>189</v>
      </c>
      <c r="H70" s="37" t="s">
        <v>84</v>
      </c>
    </row>
    <row r="71" spans="2:8" ht="150">
      <c r="B71" s="31">
        <v>18</v>
      </c>
      <c r="C71" s="31" t="s">
        <v>58</v>
      </c>
      <c r="D71" s="32" t="s">
        <v>57</v>
      </c>
      <c r="E71" s="32" t="s">
        <v>188</v>
      </c>
      <c r="F71" s="36" t="s">
        <v>51</v>
      </c>
      <c r="G71" s="38" t="s">
        <v>190</v>
      </c>
      <c r="H71" s="42" t="s">
        <v>91</v>
      </c>
    </row>
    <row r="72" spans="2:8" ht="165">
      <c r="B72" s="31">
        <v>19</v>
      </c>
      <c r="C72" s="31" t="s">
        <v>58</v>
      </c>
      <c r="D72" s="32" t="s">
        <v>64</v>
      </c>
      <c r="E72" s="32" t="s">
        <v>188</v>
      </c>
      <c r="F72" s="36" t="s">
        <v>51</v>
      </c>
      <c r="G72" s="38" t="s">
        <v>191</v>
      </c>
      <c r="H72" s="37" t="s">
        <v>85</v>
      </c>
    </row>
    <row r="73" spans="2:8" ht="195">
      <c r="B73" s="31">
        <v>20</v>
      </c>
      <c r="C73" s="31" t="s">
        <v>58</v>
      </c>
      <c r="D73" s="32" t="s">
        <v>69</v>
      </c>
      <c r="E73" s="32" t="s">
        <v>188</v>
      </c>
      <c r="F73" s="36" t="s">
        <v>51</v>
      </c>
      <c r="G73" s="38" t="s">
        <v>112</v>
      </c>
      <c r="H73" s="37"/>
    </row>
    <row r="74" spans="2:8" ht="195">
      <c r="B74" s="31">
        <v>21</v>
      </c>
      <c r="C74" s="31" t="s">
        <v>58</v>
      </c>
      <c r="D74" s="32" t="s">
        <v>70</v>
      </c>
      <c r="E74" s="32" t="s">
        <v>188</v>
      </c>
      <c r="F74" s="36" t="s">
        <v>51</v>
      </c>
      <c r="G74" s="38" t="s">
        <v>113</v>
      </c>
      <c r="H74" s="37"/>
    </row>
    <row r="75" spans="2:8" ht="30">
      <c r="B75" s="31">
        <v>22</v>
      </c>
      <c r="C75" s="32" t="s">
        <v>38</v>
      </c>
      <c r="D75" s="32" t="s">
        <v>72</v>
      </c>
      <c r="E75" s="32" t="s">
        <v>188</v>
      </c>
      <c r="F75" s="32" t="s">
        <v>72</v>
      </c>
      <c r="G75" s="36" t="s">
        <v>83</v>
      </c>
      <c r="H75" s="42" t="s">
        <v>92</v>
      </c>
    </row>
    <row r="76" spans="2:8">
      <c r="B76" s="31">
        <v>23</v>
      </c>
      <c r="C76" s="32" t="s">
        <v>38</v>
      </c>
      <c r="D76" s="32" t="s">
        <v>73</v>
      </c>
      <c r="E76" s="32" t="s">
        <v>188</v>
      </c>
      <c r="F76" s="32" t="s">
        <v>73</v>
      </c>
      <c r="G76" s="36" t="s">
        <v>51</v>
      </c>
      <c r="H76" s="37"/>
    </row>
    <row r="77" spans="2:8">
      <c r="B77" s="31">
        <v>24</v>
      </c>
      <c r="C77" s="32" t="s">
        <v>38</v>
      </c>
      <c r="D77" s="32" t="s">
        <v>74</v>
      </c>
      <c r="E77" s="32" t="s">
        <v>188</v>
      </c>
      <c r="F77" s="36" t="s">
        <v>74</v>
      </c>
      <c r="G77" s="36" t="s">
        <v>51</v>
      </c>
      <c r="H77" s="37"/>
    </row>
    <row r="78" spans="2:8">
      <c r="B78" s="31">
        <v>25</v>
      </c>
      <c r="C78" s="32" t="s">
        <v>38</v>
      </c>
      <c r="D78" s="32" t="s">
        <v>75</v>
      </c>
      <c r="E78" s="32" t="s">
        <v>188</v>
      </c>
      <c r="F78" s="36" t="s">
        <v>75</v>
      </c>
      <c r="G78" s="36" t="s">
        <v>51</v>
      </c>
      <c r="H78" s="37"/>
    </row>
    <row r="79" spans="2:8">
      <c r="B79" s="31">
        <v>26</v>
      </c>
      <c r="C79" s="32" t="s">
        <v>38</v>
      </c>
      <c r="D79" s="32" t="s">
        <v>76</v>
      </c>
      <c r="E79" s="32" t="s">
        <v>188</v>
      </c>
      <c r="F79" s="36" t="s">
        <v>76</v>
      </c>
      <c r="G79" s="36" t="s">
        <v>51</v>
      </c>
      <c r="H79" s="37"/>
    </row>
    <row r="80" spans="2:8">
      <c r="B80" s="31">
        <v>27</v>
      </c>
      <c r="C80" s="32" t="s">
        <v>38</v>
      </c>
      <c r="D80" s="32" t="s">
        <v>77</v>
      </c>
      <c r="E80" s="32" t="s">
        <v>188</v>
      </c>
      <c r="F80" s="36" t="s">
        <v>77</v>
      </c>
      <c r="G80" s="36" t="s">
        <v>51</v>
      </c>
      <c r="H80" s="37"/>
    </row>
    <row r="81" spans="2:8">
      <c r="B81" s="31">
        <v>28</v>
      </c>
      <c r="C81" s="32" t="s">
        <v>38</v>
      </c>
      <c r="D81" s="32" t="s">
        <v>78</v>
      </c>
      <c r="E81" s="32" t="s">
        <v>188</v>
      </c>
      <c r="F81" s="36" t="s">
        <v>78</v>
      </c>
      <c r="G81" s="36" t="s">
        <v>51</v>
      </c>
      <c r="H81" s="37"/>
    </row>
    <row r="82" spans="2:8">
      <c r="B82" s="31">
        <v>29</v>
      </c>
      <c r="C82" s="32" t="s">
        <v>38</v>
      </c>
      <c r="D82" s="32" t="s">
        <v>79</v>
      </c>
      <c r="E82" s="32" t="s">
        <v>188</v>
      </c>
      <c r="F82" s="36" t="s">
        <v>79</v>
      </c>
      <c r="G82" s="36" t="s">
        <v>51</v>
      </c>
      <c r="H82" s="37"/>
    </row>
    <row r="83" spans="2:8">
      <c r="B83" s="31">
        <v>30</v>
      </c>
      <c r="C83" s="32" t="s">
        <v>38</v>
      </c>
      <c r="D83" s="32" t="s">
        <v>80</v>
      </c>
      <c r="E83" s="32" t="s">
        <v>188</v>
      </c>
      <c r="F83" s="36" t="s">
        <v>80</v>
      </c>
      <c r="G83" s="36" t="s">
        <v>51</v>
      </c>
      <c r="H83" s="37"/>
    </row>
    <row r="84" spans="2:8">
      <c r="B84" s="31">
        <v>31</v>
      </c>
      <c r="C84" s="32" t="s">
        <v>38</v>
      </c>
      <c r="D84" s="32" t="s">
        <v>81</v>
      </c>
      <c r="E84" s="32" t="s">
        <v>188</v>
      </c>
      <c r="F84" s="36" t="s">
        <v>81</v>
      </c>
      <c r="G84" s="36" t="s">
        <v>51</v>
      </c>
      <c r="H84" s="37"/>
    </row>
    <row r="85" spans="2:8">
      <c r="B85" s="31">
        <v>32</v>
      </c>
      <c r="C85" s="32" t="s">
        <v>38</v>
      </c>
      <c r="D85" s="32" t="s">
        <v>82</v>
      </c>
      <c r="E85" s="32" t="s">
        <v>188</v>
      </c>
      <c r="F85" s="36" t="s">
        <v>82</v>
      </c>
      <c r="G85" s="36" t="s">
        <v>51</v>
      </c>
      <c r="H85" s="37"/>
    </row>
  </sheetData>
  <phoneticPr fontId="2"/>
  <pageMargins left="0.70866141732283472" right="0.70866141732283472" top="0.74803149606299213" bottom="0.74803149606299213" header="0.31496062992125984" footer="0.31496062992125984"/>
  <pageSetup paperSize="9" scale="18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A4C52A01CEBFF40AE45D10DA927A547" ma:contentTypeVersion="11" ma:contentTypeDescription="新しいドキュメントを作成します。" ma:contentTypeScope="" ma:versionID="28d47f0a2ac0a03d0a141d0a7f638e0b">
  <xsd:schema xmlns:xsd="http://www.w3.org/2001/XMLSchema" xmlns:xs="http://www.w3.org/2001/XMLSchema" xmlns:p="http://schemas.microsoft.com/office/2006/metadata/properties" xmlns:ns2="b5c37a85-733b-43ca-bcfb-a65fb0b4108a" xmlns:ns3="c8b0e60a-39fc-4745-abaa-4e95a5ee6b11" targetNamespace="http://schemas.microsoft.com/office/2006/metadata/properties" ma:root="true" ma:fieldsID="4140b07b92875aa8fe6d384889a2cf43" ns2:_="" ns3:_="">
    <xsd:import namespace="b5c37a85-733b-43ca-bcfb-a65fb0b4108a"/>
    <xsd:import namespace="c8b0e60a-39fc-4745-abaa-4e95a5ee6b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37a85-733b-43ca-bcfb-a65fb0b410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c1df4d3c-c4e6-4899-bdf0-e43e9c10e6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0e60a-39fc-4745-abaa-4e95a5ee6b1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f552ab2-b0c2-4fb4-8523-feac73e70c20}" ma:internalName="TaxCatchAll" ma:showField="CatchAllData" ma:web="c8b0e60a-39fc-4745-abaa-4e95a5ee6b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c37a85-733b-43ca-bcfb-a65fb0b4108a">
      <Terms xmlns="http://schemas.microsoft.com/office/infopath/2007/PartnerControls"/>
    </lcf76f155ced4ddcb4097134ff3c332f>
    <TaxCatchAll xmlns="c8b0e60a-39fc-4745-abaa-4e95a5ee6b11" xsi:nil="true"/>
  </documentManagement>
</p:properties>
</file>

<file path=customXml/itemProps1.xml><?xml version="1.0" encoding="utf-8"?>
<ds:datastoreItem xmlns:ds="http://schemas.openxmlformats.org/officeDocument/2006/customXml" ds:itemID="{24E286B6-7306-452A-97C7-F6D7FD4DCBF1}"/>
</file>

<file path=customXml/itemProps2.xml><?xml version="1.0" encoding="utf-8"?>
<ds:datastoreItem xmlns:ds="http://schemas.openxmlformats.org/officeDocument/2006/customXml" ds:itemID="{1B2ED0BF-ACB8-45A6-8A49-D38F771E8A68}"/>
</file>

<file path=customXml/itemProps3.xml><?xml version="1.0" encoding="utf-8"?>
<ds:datastoreItem xmlns:ds="http://schemas.openxmlformats.org/officeDocument/2006/customXml" ds:itemID="{81FE8497-6BD2-4986-92D2-B037958BCB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説明</vt:lpstr>
      <vt:lpstr>全体概要</vt:lpstr>
      <vt:lpstr>TB一覧</vt:lpstr>
      <vt:lpstr>TB定義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田中登仁</dc:creator>
  <cp:lastModifiedBy>泰行 新井</cp:lastModifiedBy>
  <cp:lastPrinted>2025-03-24T13:15:50Z</cp:lastPrinted>
  <dcterms:created xsi:type="dcterms:W3CDTF">2015-06-05T18:19:34Z</dcterms:created>
  <dcterms:modified xsi:type="dcterms:W3CDTF">2025-09-02T15:41:59Z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0x0101006A4C52A01CEBFF40AE45D10DA927A547</vt:lpwstr>
  </property>
</Properties>
</file>