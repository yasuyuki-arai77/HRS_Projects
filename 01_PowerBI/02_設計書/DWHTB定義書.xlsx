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44476f1f1e8ffe5/ドキュメント/01_仕事/02_案件/202501_ヒロセ電機様/060_構成管理/02_設計書/"/>
    </mc:Choice>
  </mc:AlternateContent>
  <xr:revisionPtr revIDLastSave="3" documentId="13_ncr:1_{55640AA9-154B-45AC-A3D6-06A7E4047376}" xr6:coauthVersionLast="47" xr6:coauthVersionMax="47" xr10:uidLastSave="{50F20456-9EA0-4426-921F-49E7DD92A60E}"/>
  <bookViews>
    <workbookView xWindow="-120" yWindow="-120" windowWidth="29040" windowHeight="15720" tabRatio="824" xr2:uid="{C7A1EAAC-8591-46CF-B2A0-CE15F2B6180E}"/>
  </bookViews>
  <sheets>
    <sheet name="DWHTB一覧" sheetId="64" r:id="rId1"/>
    <sheet name="ライン一覧マスタ" sheetId="69" r:id="rId2"/>
    <sheet name="停止要因マスタ" sheetId="70" r:id="rId3"/>
    <sheet name="cavマスタ" sheetId="74" r:id="rId4"/>
    <sheet name="SUPPLIERマスタ" sheetId="75" r:id="rId5"/>
    <sheet name="STOP_LOG" sheetId="68" r:id="rId6"/>
    <sheet name="PROD_LOG" sheetId="67" r:id="rId7"/>
    <sheet name="数値検査_LOG" sheetId="76" r:id="rId8"/>
    <sheet name="品質記録_ヘッダ_LOG" sheetId="77" r:id="rId9"/>
    <sheet name="品質記録_不良数_LOG" sheetId="78" r:id="rId10"/>
    <sheet name="カラム一覧" sheetId="79" r:id="rId11"/>
  </sheets>
  <definedNames>
    <definedName name="_xlnm._FilterDatabase" localSheetId="3" hidden="1">cavマスタ!$A$8:$C$8</definedName>
    <definedName name="_xlnm._FilterDatabase" localSheetId="6" hidden="1">PROD_LOG!$A$8:$C$8</definedName>
    <definedName name="_xlnm._FilterDatabase" localSheetId="5" hidden="1">STOP_LOG!$A$8:$C$8</definedName>
    <definedName name="_xlnm._FilterDatabase" localSheetId="4" hidden="1">SUPPLIERマスタ!$A$8:$C$8</definedName>
    <definedName name="_xlnm._FilterDatabase" localSheetId="10" hidden="1">カラム一覧!$A$1:$D$1</definedName>
    <definedName name="_xlnm._FilterDatabase" localSheetId="1" hidden="1">ライン一覧マスタ!$A$8:$C$8</definedName>
    <definedName name="_xlnm._FilterDatabase" localSheetId="7" hidden="1">数値検査_LOG!$A$8:$C$8</definedName>
    <definedName name="_xlnm._FilterDatabase" localSheetId="2" hidden="1">停止要因マスタ!$A$8:$C$8</definedName>
    <definedName name="_xlnm._FilterDatabase" localSheetId="8" hidden="1">品質記録_ヘッダ_LOG!$A$8:$C$8</definedName>
    <definedName name="_xlnm._FilterDatabase" localSheetId="9" hidden="1">品質記録_不良数_LOG!$A$8:$C$8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11" i="67" l="1"/>
  <c r="A11" i="68"/>
  <c r="A15" i="78"/>
  <c r="A14" i="78"/>
  <c r="A13" i="78"/>
  <c r="A12" i="78"/>
  <c r="A11" i="78"/>
  <c r="A10" i="78"/>
  <c r="A9" i="78"/>
  <c r="C6" i="78"/>
  <c r="C5" i="78"/>
  <c r="C4" i="78"/>
  <c r="C3" i="78"/>
  <c r="A16" i="77"/>
  <c r="A15" i="77"/>
  <c r="A14" i="77"/>
  <c r="A13" i="77"/>
  <c r="A12" i="77"/>
  <c r="A11" i="77"/>
  <c r="A10" i="77"/>
  <c r="A9" i="77"/>
  <c r="C6" i="77"/>
  <c r="C5" i="77"/>
  <c r="C4" i="77"/>
  <c r="C3" i="77"/>
  <c r="A33" i="76"/>
  <c r="A32" i="76"/>
  <c r="A31" i="76"/>
  <c r="A30" i="76"/>
  <c r="A29" i="76"/>
  <c r="A28" i="76"/>
  <c r="A27" i="76"/>
  <c r="A26" i="76"/>
  <c r="A25" i="76"/>
  <c r="A24" i="76"/>
  <c r="A23" i="76"/>
  <c r="A22" i="76"/>
  <c r="A21" i="76"/>
  <c r="A20" i="76"/>
  <c r="A19" i="76"/>
  <c r="A18" i="76"/>
  <c r="A17" i="76"/>
  <c r="A16" i="76"/>
  <c r="A15" i="76"/>
  <c r="A14" i="76"/>
  <c r="A13" i="76"/>
  <c r="A12" i="76"/>
  <c r="A11" i="76"/>
  <c r="A10" i="76"/>
  <c r="A9" i="76"/>
  <c r="C6" i="76"/>
  <c r="C5" i="76"/>
  <c r="C4" i="76"/>
  <c r="C3" i="76"/>
  <c r="A10" i="75"/>
  <c r="A9" i="75"/>
  <c r="C6" i="75"/>
  <c r="C5" i="75"/>
  <c r="C4" i="75"/>
  <c r="C3" i="75"/>
  <c r="A11" i="74"/>
  <c r="A12" i="74"/>
  <c r="A13" i="74"/>
  <c r="C6" i="67"/>
  <c r="C5" i="67"/>
  <c r="C4" i="67"/>
  <c r="C3" i="67"/>
  <c r="C6" i="68"/>
  <c r="C5" i="68"/>
  <c r="C4" i="68"/>
  <c r="C3" i="68"/>
  <c r="C6" i="74"/>
  <c r="C5" i="74"/>
  <c r="C4" i="74"/>
  <c r="C3" i="74"/>
  <c r="C6" i="70"/>
  <c r="C5" i="70"/>
  <c r="C4" i="70"/>
  <c r="C3" i="70"/>
  <c r="C6" i="69"/>
  <c r="C5" i="69"/>
  <c r="C4" i="69"/>
  <c r="C3" i="69"/>
  <c r="A10" i="74"/>
  <c r="A9" i="74"/>
  <c r="A10" i="70" l="1"/>
  <c r="A9" i="70"/>
  <c r="A12" i="69"/>
  <c r="A11" i="69"/>
  <c r="A10" i="69"/>
  <c r="A9" i="69"/>
  <c r="A14" i="68"/>
  <c r="A13" i="68"/>
  <c r="A12" i="68"/>
  <c r="A10" i="68"/>
  <c r="A9" i="68"/>
  <c r="A16" i="67"/>
  <c r="A17" i="67"/>
  <c r="A18" i="67"/>
  <c r="A19" i="67"/>
  <c r="A20" i="67"/>
  <c r="A21" i="67"/>
  <c r="A22" i="67"/>
  <c r="A23" i="67"/>
  <c r="A15" i="67"/>
  <c r="A14" i="67"/>
  <c r="A13" i="67"/>
  <c r="A12" i="67"/>
  <c r="A10" i="67"/>
  <c r="A9" i="67"/>
</calcChain>
</file>

<file path=xl/sharedStrings.xml><?xml version="1.0" encoding="utf-8"?>
<sst xmlns="http://schemas.openxmlformats.org/spreadsheetml/2006/main" count="700" uniqueCount="202">
  <si>
    <t>説明</t>
    <rPh sb="0" eb="2">
      <t>セツメイ</t>
    </rPh>
    <phoneticPr fontId="1"/>
  </si>
  <si>
    <t>備考</t>
    <rPh sb="0" eb="2">
      <t>ビコウ</t>
    </rPh>
    <phoneticPr fontId="1"/>
  </si>
  <si>
    <t>マスタ</t>
    <phoneticPr fontId="1"/>
  </si>
  <si>
    <t>No</t>
    <phoneticPr fontId="1"/>
  </si>
  <si>
    <t>No</t>
    <phoneticPr fontId="38"/>
  </si>
  <si>
    <t>備考</t>
    <rPh sb="0" eb="2">
      <t>ビコウ</t>
    </rPh>
    <phoneticPr fontId="38"/>
  </si>
  <si>
    <t>取得元システム</t>
    <rPh sb="0" eb="2">
      <t>シュトク</t>
    </rPh>
    <rPh sb="2" eb="3">
      <t>モト</t>
    </rPh>
    <phoneticPr fontId="38"/>
  </si>
  <si>
    <t>取得元システム</t>
    <rPh sb="0" eb="2">
      <t>シュトク</t>
    </rPh>
    <rPh sb="2" eb="3">
      <t>モト</t>
    </rPh>
    <phoneticPr fontId="1"/>
  </si>
  <si>
    <t>テーブル一覧シートへ</t>
    <phoneticPr fontId="38"/>
  </si>
  <si>
    <t>トランザクション</t>
    <phoneticPr fontId="1"/>
  </si>
  <si>
    <t>テーブル種別</t>
    <rPh sb="4" eb="6">
      <t>シュベツ</t>
    </rPh>
    <phoneticPr fontId="1"/>
  </si>
  <si>
    <t>テーブル種別</t>
    <rPh sb="4" eb="6">
      <t>シュベツ</t>
    </rPh>
    <phoneticPr fontId="38"/>
  </si>
  <si>
    <t>時刻</t>
  </si>
  <si>
    <t>停止要因マスタ</t>
    <rPh sb="0" eb="2">
      <t>テイシ</t>
    </rPh>
    <rPh sb="2" eb="4">
      <t>ヨウイン</t>
    </rPh>
    <phoneticPr fontId="1"/>
  </si>
  <si>
    <t>物理名</t>
    <rPh sb="0" eb="2">
      <t>ブツリ</t>
    </rPh>
    <rPh sb="2" eb="3">
      <t>メイ</t>
    </rPh>
    <phoneticPr fontId="1"/>
  </si>
  <si>
    <t>マート名</t>
    <rPh sb="3" eb="4">
      <t>メイ</t>
    </rPh>
    <phoneticPr fontId="1"/>
  </si>
  <si>
    <t>論理名</t>
    <rPh sb="0" eb="2">
      <t>ロンリ</t>
    </rPh>
    <rPh sb="2" eb="3">
      <t>メイ</t>
    </rPh>
    <phoneticPr fontId="1"/>
  </si>
  <si>
    <t>mst_停止要因</t>
    <phoneticPr fontId="1"/>
  </si>
  <si>
    <t>テーブル物理名</t>
    <rPh sb="4" eb="6">
      <t>ブツリ</t>
    </rPh>
    <rPh sb="6" eb="7">
      <t>メイ</t>
    </rPh>
    <phoneticPr fontId="38"/>
  </si>
  <si>
    <t>テーブル論理名</t>
    <rPh sb="4" eb="6">
      <t>ロンリ</t>
    </rPh>
    <rPh sb="6" eb="7">
      <t>メイ</t>
    </rPh>
    <phoneticPr fontId="38"/>
  </si>
  <si>
    <t>NAS</t>
    <phoneticPr fontId="1"/>
  </si>
  <si>
    <t>Nコード</t>
  </si>
  <si>
    <t>mst_ライン一覧</t>
    <rPh sb="7" eb="9">
      <t>イチラン</t>
    </rPh>
    <phoneticPr fontId="1"/>
  </si>
  <si>
    <t>ラインNo</t>
  </si>
  <si>
    <t>PF名</t>
  </si>
  <si>
    <t>ライン一覧マスタ</t>
    <rPh sb="3" eb="5">
      <t>イチラン</t>
    </rPh>
    <phoneticPr fontId="1"/>
  </si>
  <si>
    <t>ライン一覧のマスタ</t>
    <rPh sb="3" eb="5">
      <t>イチラン</t>
    </rPh>
    <phoneticPr fontId="1"/>
  </si>
  <si>
    <t>マシンのステータスが遷移したタイミングでレコードを作成。1日の基準時間は8:00:01～翌8:00:00で1ファイルとなる</t>
    <rPh sb="10" eb="12">
      <t>センイ</t>
    </rPh>
    <rPh sb="25" eb="27">
      <t>サクセイ</t>
    </rPh>
    <rPh sb="29" eb="30">
      <t>ニチ</t>
    </rPh>
    <rPh sb="31" eb="33">
      <t>キジュン</t>
    </rPh>
    <rPh sb="33" eb="35">
      <t>ジカン</t>
    </rPh>
    <phoneticPr fontId="1"/>
  </si>
  <si>
    <t>1時間毎に1レコードの生産数を生成。1日の基準時間は8:00:01～翌8:00:00で1ファイルが25レコードとなる</t>
    <rPh sb="1" eb="3">
      <t>ジカン</t>
    </rPh>
    <rPh sb="3" eb="4">
      <t>ゴト</t>
    </rPh>
    <rPh sb="11" eb="14">
      <t>セイサンスウ</t>
    </rPh>
    <rPh sb="15" eb="17">
      <t>セイセイ</t>
    </rPh>
    <rPh sb="19" eb="20">
      <t>ニチ</t>
    </rPh>
    <rPh sb="21" eb="25">
      <t>キジュンジカン</t>
    </rPh>
    <phoneticPr fontId="1"/>
  </si>
  <si>
    <t>STOP_LOG</t>
  </si>
  <si>
    <t>STOP_LOGの停止要因と紐づくマスタ</t>
    <rPh sb="9" eb="13">
      <t>テイシヨウイン</t>
    </rPh>
    <rPh sb="14" eb="15">
      <t>ヒモ</t>
    </rPh>
    <phoneticPr fontId="1"/>
  </si>
  <si>
    <t>PROD_LOG</t>
  </si>
  <si>
    <t>手配先名</t>
  </si>
  <si>
    <t>数値検査_LOG</t>
    <rPh sb="0" eb="2">
      <t>スウチ</t>
    </rPh>
    <rPh sb="2" eb="4">
      <t>ケンサ</t>
    </rPh>
    <phoneticPr fontId="1"/>
  </si>
  <si>
    <t>ロットNo</t>
  </si>
  <si>
    <t>チェックシートSEQ</t>
  </si>
  <si>
    <t>チェックシート帳票名</t>
  </si>
  <si>
    <t>手配先コード</t>
  </si>
  <si>
    <t>ラインNo.</t>
  </si>
  <si>
    <t>製造書指示番号</t>
  </si>
  <si>
    <t>着手日</t>
  </si>
  <si>
    <t>品目コード</t>
  </si>
  <si>
    <t>品名</t>
  </si>
  <si>
    <t>測定箇所SEQ</t>
  </si>
  <si>
    <t>測定箇所名</t>
  </si>
  <si>
    <t>検査タイプ</t>
  </si>
  <si>
    <t>検査工程名</t>
  </si>
  <si>
    <t>Ｎ数</t>
  </si>
  <si>
    <t>測定値</t>
  </si>
  <si>
    <t>基準</t>
  </si>
  <si>
    <t>上限</t>
  </si>
  <si>
    <t>下限</t>
  </si>
  <si>
    <t>XBAR_CL</t>
  </si>
  <si>
    <t>XBAR_UCL</t>
  </si>
  <si>
    <t>XBAR_LCL</t>
  </si>
  <si>
    <t>R_CL</t>
  </si>
  <si>
    <t>R_UCL</t>
  </si>
  <si>
    <t>R_LCL</t>
  </si>
  <si>
    <t>T01</t>
    <phoneticPr fontId="1"/>
  </si>
  <si>
    <t>M01</t>
    <phoneticPr fontId="1"/>
  </si>
  <si>
    <t>M02</t>
  </si>
  <si>
    <t>M03</t>
  </si>
  <si>
    <t>M04</t>
  </si>
  <si>
    <t>T02</t>
  </si>
  <si>
    <t>T03</t>
  </si>
  <si>
    <t>M02</t>
    <phoneticPr fontId="1"/>
  </si>
  <si>
    <t>M03</t>
    <phoneticPr fontId="1"/>
  </si>
  <si>
    <t>M04</t>
    <phoneticPr fontId="1"/>
  </si>
  <si>
    <t>T02</t>
    <phoneticPr fontId="1"/>
  </si>
  <si>
    <t>T03</t>
    <phoneticPr fontId="1"/>
  </si>
  <si>
    <t>cavマスタ</t>
    <phoneticPr fontId="1"/>
  </si>
  <si>
    <t>データID</t>
  </si>
  <si>
    <t>cav情報マスタ.xlsx</t>
    <phoneticPr fontId="1"/>
  </si>
  <si>
    <t>寸法検査レポート用。数値検査_LOGからキャビ情報のみを手で抜き出した疑似マスタ</t>
    <rPh sb="10" eb="14">
      <t>スウチケンサ</t>
    </rPh>
    <rPh sb="23" eb="25">
      <t>ジョウホウ</t>
    </rPh>
    <rPh sb="28" eb="29">
      <t>テ</t>
    </rPh>
    <rPh sb="30" eb="31">
      <t>ヌ</t>
    </rPh>
    <rPh sb="32" eb="33">
      <t>ダ</t>
    </rPh>
    <rPh sb="35" eb="37">
      <t>ギジ</t>
    </rPh>
    <phoneticPr fontId="1"/>
  </si>
  <si>
    <t>熊谷さん手作成</t>
    <rPh sb="4" eb="5">
      <t>テ</t>
    </rPh>
    <phoneticPr fontId="1"/>
  </si>
  <si>
    <t>寸法検査レポートのソース。このLOG自体にはキャビ情報と検査値が混在している為、レポートで検査値のみに加工して使用</t>
    <rPh sb="0" eb="4">
      <t>スンポウケンサ</t>
    </rPh>
    <rPh sb="18" eb="20">
      <t>ジタイ</t>
    </rPh>
    <rPh sb="25" eb="27">
      <t>ジョウホウ</t>
    </rPh>
    <rPh sb="28" eb="30">
      <t>ケンサ</t>
    </rPh>
    <rPh sb="30" eb="31">
      <t>チ</t>
    </rPh>
    <rPh sb="32" eb="34">
      <t>コンザイ</t>
    </rPh>
    <rPh sb="38" eb="39">
      <t>タメ</t>
    </rPh>
    <rPh sb="45" eb="48">
      <t>ケンサチ</t>
    </rPh>
    <rPh sb="51" eb="53">
      <t>カコウ</t>
    </rPh>
    <rPh sb="55" eb="57">
      <t>シヨウ</t>
    </rPh>
    <phoneticPr fontId="1"/>
  </si>
  <si>
    <t>◆DWHTB定義一覧</t>
    <rPh sb="6" eb="8">
      <t>テイギ</t>
    </rPh>
    <rPh sb="8" eb="10">
      <t>イチラン</t>
    </rPh>
    <phoneticPr fontId="1"/>
  </si>
  <si>
    <t>データ型</t>
  </si>
  <si>
    <t>timestamp</t>
  </si>
  <si>
    <t>TIMESTAMP</t>
  </si>
  <si>
    <t>n_code</t>
  </si>
  <si>
    <t>STRING</t>
  </si>
  <si>
    <t>line_no</t>
  </si>
  <si>
    <t>current_plan_count</t>
  </si>
  <si>
    <t>progress_rate</t>
  </si>
  <si>
    <t>planned_machine_tact</t>
  </si>
  <si>
    <t>average_tact</t>
  </si>
  <si>
    <t>生産ステータス</t>
  </si>
  <si>
    <t>CSV列名</t>
    <phoneticPr fontId="1"/>
  </si>
  <si>
    <t>SnowFlake列名</t>
    <phoneticPr fontId="1"/>
  </si>
  <si>
    <t>要因No.</t>
  </si>
  <si>
    <t>factor_no</t>
  </si>
  <si>
    <t>Location</t>
  </si>
  <si>
    <t>location</t>
  </si>
  <si>
    <t>pf_name</t>
  </si>
  <si>
    <t>製品形</t>
  </si>
  <si>
    <t>product_type</t>
  </si>
  <si>
    <t>停止要因項目</t>
  </si>
  <si>
    <t>stop_reason</t>
  </si>
  <si>
    <t>T04</t>
  </si>
  <si>
    <t>T05</t>
  </si>
  <si>
    <t>品質記録_不良数_LOG</t>
    <rPh sb="0" eb="4">
      <t>ヒンシツキロク</t>
    </rPh>
    <rPh sb="5" eb="8">
      <t>フリョウスウ</t>
    </rPh>
    <phoneticPr fontId="1"/>
  </si>
  <si>
    <t>品質記録_ヘッダ_LOG</t>
    <rPh sb="0" eb="4">
      <t>ヒンシツキロク</t>
    </rPh>
    <phoneticPr fontId="1"/>
  </si>
  <si>
    <t>T04</t>
    <phoneticPr fontId="1"/>
  </si>
  <si>
    <t>T05</t>
    <phoneticPr fontId="1"/>
  </si>
  <si>
    <t>ロット</t>
  </si>
  <si>
    <t>ロットNo（着手日）</t>
  </si>
  <si>
    <t>CLコード</t>
  </si>
  <si>
    <t>製品名</t>
  </si>
  <si>
    <t>生産数</t>
  </si>
  <si>
    <t>SUPPLIERマスタ</t>
    <phoneticPr fontId="1"/>
  </si>
  <si>
    <t>SUPPLIER_MASTER.csv</t>
    <phoneticPr fontId="1"/>
  </si>
  <si>
    <t>協力会社一覧のマスタ</t>
    <rPh sb="0" eb="4">
      <t>キョウリョクガイシャ</t>
    </rPh>
    <rPh sb="4" eb="6">
      <t>イチラン</t>
    </rPh>
    <phoneticPr fontId="1"/>
  </si>
  <si>
    <t>品質記録レポートのソース。製造書指示番号 &gt; 中項目ごとの不良数が最小単位</t>
    <rPh sb="0" eb="4">
      <t>ヒンシツキロク</t>
    </rPh>
    <rPh sb="13" eb="20">
      <t>セイゾウショシジバンゴウ</t>
    </rPh>
    <rPh sb="23" eb="26">
      <t>チュウコウモク</t>
    </rPh>
    <rPh sb="29" eb="32">
      <t>フリョウスウ</t>
    </rPh>
    <rPh sb="33" eb="37">
      <t>サイショウタンイ</t>
    </rPh>
    <phoneticPr fontId="1"/>
  </si>
  <si>
    <t>品質記録レポートのソース。製造書指示番号ごとの生産数が最小単位。ヘッダで不良数とLeftjoinして使用できる</t>
    <rPh sb="0" eb="4">
      <t>ヒンシツキロク</t>
    </rPh>
    <rPh sb="23" eb="26">
      <t>セイサンスウ</t>
    </rPh>
    <rPh sb="27" eb="29">
      <t>サイショウ</t>
    </rPh>
    <rPh sb="29" eb="31">
      <t>タンイ</t>
    </rPh>
    <rPh sb="36" eb="39">
      <t>フリョウスウ</t>
    </rPh>
    <rPh sb="50" eb="52">
      <t>シヨウ</t>
    </rPh>
    <phoneticPr fontId="1"/>
  </si>
  <si>
    <t>全社用</t>
    <rPh sb="0" eb="2">
      <t>ゼンシャ</t>
    </rPh>
    <rPh sb="2" eb="3">
      <t>ヨウ</t>
    </rPh>
    <phoneticPr fontId="1"/>
  </si>
  <si>
    <t>拠点用</t>
    <rPh sb="0" eb="3">
      <t>キョテンヨウ</t>
    </rPh>
    <phoneticPr fontId="1"/>
  </si>
  <si>
    <t>●</t>
  </si>
  <si>
    <t>●</t>
    <phoneticPr fontId="1"/>
  </si>
  <si>
    <t xml:space="preserve">稼働
データ
</t>
    <rPh sb="0" eb="2">
      <t>カドウ</t>
    </rPh>
    <phoneticPr fontId="1"/>
  </si>
  <si>
    <t>設備稼働率</t>
    <phoneticPr fontId="1"/>
  </si>
  <si>
    <t>設備IoTデータ</t>
    <rPh sb="0" eb="2">
      <t>セツビ</t>
    </rPh>
    <phoneticPr fontId="1"/>
  </si>
  <si>
    <t xml:space="preserve">寸法検査
</t>
    <rPh sb="0" eb="2">
      <t>スンポウ</t>
    </rPh>
    <rPh sb="2" eb="4">
      <t>ケンサ</t>
    </rPh>
    <phoneticPr fontId="1"/>
  </si>
  <si>
    <t xml:space="preserve">品質記録
</t>
    <rPh sb="0" eb="4">
      <t>ヒンシツキロク</t>
    </rPh>
    <phoneticPr fontId="1"/>
  </si>
  <si>
    <t>MC_LOG</t>
    <phoneticPr fontId="1"/>
  </si>
  <si>
    <t>全社用レポート</t>
    <rPh sb="0" eb="3">
      <t>ゼンシャヨウ</t>
    </rPh>
    <phoneticPr fontId="1"/>
  </si>
  <si>
    <t>拠点用レポート</t>
    <rPh sb="0" eb="2">
      <t>キョテン</t>
    </rPh>
    <rPh sb="2" eb="3">
      <t>ヨウ</t>
    </rPh>
    <phoneticPr fontId="1"/>
  </si>
  <si>
    <t>mst_line</t>
  </si>
  <si>
    <t>mst_stop_reason</t>
  </si>
  <si>
    <t>mst_cav</t>
    <phoneticPr fontId="1"/>
  </si>
  <si>
    <t>mst_supplier</t>
    <phoneticPr fontId="42"/>
  </si>
  <si>
    <t>下記にDWHのTB一覧を記す。</t>
    <rPh sb="0" eb="2">
      <t>カキ</t>
    </rPh>
    <rPh sb="9" eb="11">
      <t>イチラン</t>
    </rPh>
    <rPh sb="12" eb="13">
      <t>シル</t>
    </rPh>
    <phoneticPr fontId="1"/>
  </si>
  <si>
    <t>stop_log</t>
    <phoneticPr fontId="1"/>
  </si>
  <si>
    <t>prod_log</t>
    <phoneticPr fontId="1"/>
  </si>
  <si>
    <t>nc_log</t>
    <phoneticPr fontId="1"/>
  </si>
  <si>
    <t>qr_h_log</t>
    <phoneticPr fontId="42"/>
  </si>
  <si>
    <t>qr_d_log</t>
    <phoneticPr fontId="42"/>
  </si>
  <si>
    <t>STOP_LOG</t>
    <phoneticPr fontId="1"/>
  </si>
  <si>
    <t>PROD_LOG</t>
    <phoneticPr fontId="1"/>
  </si>
  <si>
    <t>checksheet_seq</t>
  </si>
  <si>
    <t>checksheet_name</t>
  </si>
  <si>
    <t>measurement_point_seq</t>
  </si>
  <si>
    <t>measurement_point_name</t>
  </si>
  <si>
    <t>data_id</t>
  </si>
  <si>
    <t>delivery_code</t>
  </si>
  <si>
    <t>delivery_name</t>
  </si>
  <si>
    <t>operation_status</t>
  </si>
  <si>
    <t>production_status</t>
  </si>
  <si>
    <t>manufacturing_order_no</t>
  </si>
  <si>
    <t>lot_no</t>
  </si>
  <si>
    <t>start_date</t>
  </si>
  <si>
    <t>DATE</t>
  </si>
  <si>
    <t>item_code</t>
  </si>
  <si>
    <t>item_name</t>
  </si>
  <si>
    <t>inspection_type</t>
  </si>
  <si>
    <t>inspection_process_name</t>
  </si>
  <si>
    <t>n_count</t>
  </si>
  <si>
    <t>measured_value</t>
  </si>
  <si>
    <t>standard_value</t>
  </si>
  <si>
    <t>upper_limit</t>
  </si>
  <si>
    <t>lower_limit</t>
  </si>
  <si>
    <t>xbar_cl</t>
  </si>
  <si>
    <t>xbar_ucl</t>
  </si>
  <si>
    <t>xbar_lcl</t>
  </si>
  <si>
    <t>r_cl</t>
  </si>
  <si>
    <t>r_ucl</t>
  </si>
  <si>
    <t>r_lcl</t>
  </si>
  <si>
    <t>cl_code</t>
  </si>
  <si>
    <t>product_name</t>
  </si>
  <si>
    <t>production_count</t>
  </si>
  <si>
    <t>大項目</t>
  </si>
  <si>
    <t>main_item</t>
  </si>
  <si>
    <t>中項目</t>
  </si>
  <si>
    <t>sub_item</t>
  </si>
  <si>
    <t>小項目</t>
  </si>
  <si>
    <t>minor_item</t>
  </si>
  <si>
    <t>不良数</t>
  </si>
  <si>
    <t>defect_count</t>
  </si>
  <si>
    <t>基準数</t>
  </si>
  <si>
    <t>standard_count</t>
  </si>
  <si>
    <t>SnowFlake列名</t>
  </si>
  <si>
    <t>CSV列名</t>
  </si>
  <si>
    <t>投入数</t>
  </si>
  <si>
    <t>梱包数</t>
  </si>
  <si>
    <t>現在計画数</t>
  </si>
  <si>
    <t>進捗率</t>
  </si>
  <si>
    <t>計画数</t>
  </si>
  <si>
    <t>計画マシンタクト</t>
  </si>
  <si>
    <t>平均タクト</t>
  </si>
  <si>
    <t>不良率ppm</t>
  </si>
  <si>
    <t>稼働ステータス</t>
  </si>
  <si>
    <t>要因No</t>
  </si>
  <si>
    <t>input_count</t>
  </si>
  <si>
    <t>input_count</t>
    <phoneticPr fontId="1"/>
  </si>
  <si>
    <t>production_count</t>
    <phoneticPr fontId="1"/>
  </si>
  <si>
    <t>packing_count</t>
  </si>
  <si>
    <t>packing_count</t>
    <phoneticPr fontId="1"/>
  </si>
  <si>
    <t>plan_count</t>
  </si>
  <si>
    <t>plan_count</t>
    <phoneticPr fontId="1"/>
  </si>
  <si>
    <t>defect_count</t>
    <phoneticPr fontId="1"/>
  </si>
  <si>
    <t>defect_rate_ppm</t>
  </si>
  <si>
    <t>defect_rate_ppm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</si>
</sst>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76" formatCode="0.0000000000"/>
    <numFmt numFmtId="177" formatCode="#,##0;\-#,##0;&quot;-&quot;"/>
    <numFmt numFmtId="178" formatCode="&quot;$&quot;#,##0_);\(&quot;$&quot;#,##0\)"/>
    <numFmt numFmtId="179" formatCode="&quot;$&quot;#,##0;[Red]\-&quot;$&quot;#,##0"/>
    <numFmt numFmtId="180" formatCode="&quot;$&quot;#,##0.00;[Red]\-&quot;$&quot;#,##0.00"/>
  </numFmts>
  <fonts count="4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name val="ＭＳ ゴシック"/>
      <family val="3"/>
      <charset val="128"/>
    </font>
    <font>
      <sz val="9"/>
      <name val="ＭＳ 明朝"/>
      <family val="1"/>
      <charset val="128"/>
    </font>
    <font>
      <sz val="10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0"/>
      <name val="ＭＳ Ｐ明朝"/>
      <family val="1"/>
      <charset val="128"/>
    </font>
    <font>
      <b/>
      <sz val="10"/>
      <name val="MS Sans Serif"/>
      <family val="2"/>
    </font>
    <font>
      <sz val="10"/>
      <color indexed="8"/>
      <name val="Arial"/>
      <family val="2"/>
    </font>
    <font>
      <b/>
      <sz val="10"/>
      <name val="Helv"/>
      <family val="2"/>
    </font>
    <font>
      <sz val="10"/>
      <name val="MS Sans Serif"/>
      <family val="2"/>
    </font>
    <font>
      <sz val="10"/>
      <name val="Arial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1"/>
      <name val="Helv"/>
      <family val="2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11"/>
      <name val="ＭＳ 明朝"/>
      <family val="1"/>
      <charset val="128"/>
    </font>
    <font>
      <sz val="14"/>
      <name val="ＭＳ 明朝"/>
      <family val="1"/>
      <charset val="128"/>
    </font>
    <font>
      <sz val="11"/>
      <color theme="1"/>
      <name val="Meiryo UI"/>
      <family val="3"/>
      <charset val="128"/>
    </font>
    <font>
      <sz val="6"/>
      <name val="メイリオ"/>
      <family val="3"/>
      <charset val="128"/>
    </font>
    <font>
      <sz val="11"/>
      <name val="Meiryo UI"/>
      <family val="3"/>
      <charset val="128"/>
    </font>
    <font>
      <u/>
      <sz val="11"/>
      <color theme="10"/>
      <name val="游ゴシック"/>
      <family val="2"/>
      <charset val="128"/>
      <scheme val="minor"/>
    </font>
    <font>
      <u/>
      <sz val="11"/>
      <color theme="10"/>
      <name val="Meiryo UI"/>
      <family val="3"/>
      <charset val="128"/>
    </font>
    <font>
      <sz val="6"/>
      <name val="游ゴシック"/>
      <family val="3"/>
      <charset val="128"/>
      <scheme val="minor"/>
    </font>
    <font>
      <sz val="10"/>
      <color rgb="FF000000"/>
      <name val="ＭＳ ゴシック"/>
      <family val="3"/>
      <charset val="128"/>
    </font>
    <font>
      <sz val="11"/>
      <color rgb="FFFF0000"/>
      <name val="Meiryo UI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9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theme="1"/>
      </patternFill>
    </fill>
    <fill>
      <patternFill patternType="solid">
        <fgColor theme="0" tint="-0.249977111117893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3">
    <xf numFmtId="0" fontId="0" fillId="0" borderId="0">
      <alignment vertical="center"/>
    </xf>
    <xf numFmtId="0" fontId="3" fillId="0" borderId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23" fillId="0" borderId="0">
      <alignment vertical="center" wrapText="1"/>
    </xf>
    <xf numFmtId="178" fontId="24" fillId="0" borderId="2" applyAlignment="0" applyProtection="0"/>
    <xf numFmtId="177" fontId="25" fillId="0" borderId="0" applyFill="0" applyBorder="0" applyAlignment="0"/>
    <xf numFmtId="0" fontId="26" fillId="0" borderId="0"/>
    <xf numFmtId="38" fontId="27" fillId="0" borderId="0" applyFont="0" applyFill="0" applyBorder="0" applyAlignment="0" applyProtection="0"/>
    <xf numFmtId="43" fontId="28" fillId="0" borderId="0" applyFont="0" applyFill="0" applyBorder="0" applyAlignment="0" applyProtection="0"/>
    <xf numFmtId="179" fontId="27" fillId="0" borderId="0" applyFont="0" applyFill="0" applyBorder="0" applyAlignment="0" applyProtection="0"/>
    <xf numFmtId="180" fontId="27" fillId="0" borderId="0" applyFont="0" applyFill="0" applyBorder="0" applyAlignment="0" applyProtection="0"/>
    <xf numFmtId="38" fontId="29" fillId="16" borderId="0" applyNumberFormat="0" applyBorder="0" applyAlignment="0" applyProtection="0"/>
    <xf numFmtId="0" fontId="30" fillId="0" borderId="0">
      <alignment horizontal="left"/>
    </xf>
    <xf numFmtId="0" fontId="31" fillId="0" borderId="3" applyNumberFormat="0" applyAlignment="0" applyProtection="0">
      <alignment horizontal="left" vertical="center"/>
    </xf>
    <xf numFmtId="0" fontId="31" fillId="0" borderId="4">
      <alignment horizontal="left" vertical="center"/>
    </xf>
    <xf numFmtId="10" fontId="29" fillId="16" borderId="1" applyNumberFormat="0" applyBorder="0" applyAlignment="0" applyProtection="0"/>
    <xf numFmtId="0" fontId="32" fillId="0" borderId="5"/>
    <xf numFmtId="176" fontId="33" fillId="0" borderId="0"/>
    <xf numFmtId="176" fontId="33" fillId="0" borderId="0"/>
    <xf numFmtId="176" fontId="33" fillId="0" borderId="0"/>
    <xf numFmtId="0" fontId="28" fillId="0" borderId="0"/>
    <xf numFmtId="10" fontId="28" fillId="0" borderId="0" applyFont="0" applyFill="0" applyBorder="0" applyAlignment="0" applyProtection="0"/>
    <xf numFmtId="0" fontId="27" fillId="0" borderId="0" applyNumberFormat="0" applyFont="0" applyFill="0" applyBorder="0" applyAlignment="0" applyProtection="0">
      <alignment horizontal="left"/>
    </xf>
    <xf numFmtId="0" fontId="24" fillId="0" borderId="5">
      <alignment horizontal="center"/>
    </xf>
    <xf numFmtId="0" fontId="34" fillId="0" borderId="6"/>
    <xf numFmtId="0" fontId="32" fillId="0" borderId="0"/>
    <xf numFmtId="0" fontId="34" fillId="0" borderId="0"/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21" borderId="7" applyNumberFormat="0" applyAlignment="0" applyProtection="0">
      <alignment vertical="center"/>
    </xf>
    <xf numFmtId="0" fontId="9" fillId="21" borderId="7" applyNumberFormat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6" fillId="23" borderId="8" applyNumberFormat="0" applyFont="0" applyAlignment="0" applyProtection="0">
      <alignment vertical="center"/>
    </xf>
    <xf numFmtId="0" fontId="5" fillId="23" borderId="8" applyNumberFormat="0" applyFont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3" fillId="24" borderId="10" applyNumberFormat="0" applyAlignment="0" applyProtection="0">
      <alignment vertical="center"/>
    </xf>
    <xf numFmtId="0" fontId="13" fillId="24" borderId="10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24" borderId="15" applyNumberFormat="0" applyAlignment="0" applyProtection="0">
      <alignment vertical="center"/>
    </xf>
    <xf numFmtId="0" fontId="19" fillId="24" borderId="15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4" fillId="0" borderId="0">
      <alignment horizontal="center" vertical="center"/>
    </xf>
    <xf numFmtId="0" fontId="21" fillId="7" borderId="10" applyNumberFormat="0" applyAlignment="0" applyProtection="0">
      <alignment vertical="center"/>
    </xf>
    <xf numFmtId="0" fontId="21" fillId="7" borderId="10" applyNumberFormat="0" applyAlignment="0" applyProtection="0">
      <alignment vertical="center"/>
    </xf>
    <xf numFmtId="0" fontId="6" fillId="0" borderId="0">
      <alignment vertical="center"/>
    </xf>
    <xf numFmtId="0" fontId="33" fillId="0" borderId="0">
      <alignment vertical="center"/>
    </xf>
    <xf numFmtId="0" fontId="35" fillId="0" borderId="0"/>
    <xf numFmtId="0" fontId="36" fillId="0" borderId="0"/>
    <xf numFmtId="0" fontId="22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1" fillId="7" borderId="10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9" fillId="24" borderId="15" applyNumberFormat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0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178" fontId="24" fillId="0" borderId="25" applyAlignment="0" applyProtection="0"/>
    <xf numFmtId="0" fontId="31" fillId="0" borderId="26">
      <alignment horizontal="left" vertical="center"/>
    </xf>
    <xf numFmtId="10" fontId="29" fillId="16" borderId="20" applyNumberFormat="0" applyBorder="0" applyAlignment="0" applyProtection="0"/>
    <xf numFmtId="0" fontId="6" fillId="23" borderId="27" applyNumberFormat="0" applyFont="0" applyAlignment="0" applyProtection="0">
      <alignment vertical="center"/>
    </xf>
    <xf numFmtId="0" fontId="5" fillId="23" borderId="27" applyNumberFormat="0" applyFont="0" applyAlignment="0" applyProtection="0">
      <alignment vertical="center"/>
    </xf>
    <xf numFmtId="0" fontId="13" fillId="24" borderId="28" applyNumberFormat="0" applyAlignment="0" applyProtection="0">
      <alignment vertical="center"/>
    </xf>
    <xf numFmtId="0" fontId="13" fillId="24" borderId="28" applyNumberFormat="0" applyAlignment="0" applyProtection="0">
      <alignment vertical="center"/>
    </xf>
    <xf numFmtId="0" fontId="18" fillId="0" borderId="29" applyNumberFormat="0" applyFill="0" applyAlignment="0" applyProtection="0">
      <alignment vertical="center"/>
    </xf>
    <xf numFmtId="0" fontId="18" fillId="0" borderId="29" applyNumberFormat="0" applyFill="0" applyAlignment="0" applyProtection="0">
      <alignment vertical="center"/>
    </xf>
    <xf numFmtId="0" fontId="19" fillId="24" borderId="30" applyNumberFormat="0" applyAlignment="0" applyProtection="0">
      <alignment vertical="center"/>
    </xf>
    <xf numFmtId="0" fontId="19" fillId="24" borderId="30" applyNumberFormat="0" applyAlignment="0" applyProtection="0">
      <alignment vertical="center"/>
    </xf>
    <xf numFmtId="0" fontId="21" fillId="7" borderId="28" applyNumberFormat="0" applyAlignment="0" applyProtection="0">
      <alignment vertical="center"/>
    </xf>
    <xf numFmtId="0" fontId="21" fillId="7" borderId="28" applyNumberFormat="0" applyAlignment="0" applyProtection="0">
      <alignment vertical="center"/>
    </xf>
    <xf numFmtId="0" fontId="21" fillId="7" borderId="28" applyNumberFormat="0" applyAlignment="0" applyProtection="0">
      <alignment vertical="center"/>
    </xf>
    <xf numFmtId="0" fontId="19" fillId="24" borderId="30" applyNumberFormat="0" applyAlignment="0" applyProtection="0">
      <alignment vertical="center"/>
    </xf>
    <xf numFmtId="0" fontId="43" fillId="0" borderId="0">
      <alignment vertical="center"/>
    </xf>
  </cellStyleXfs>
  <cellXfs count="67">
    <xf numFmtId="0" fontId="0" fillId="0" borderId="0" xfId="0">
      <alignment vertical="center"/>
    </xf>
    <xf numFmtId="0" fontId="37" fillId="0" borderId="0" xfId="0" applyFont="1">
      <alignment vertical="center"/>
    </xf>
    <xf numFmtId="0" fontId="37" fillId="0" borderId="0" xfId="0" applyFont="1" applyAlignment="1">
      <alignment vertical="center" wrapText="1"/>
    </xf>
    <xf numFmtId="0" fontId="39" fillId="0" borderId="0" xfId="0" applyFont="1">
      <alignment vertical="center"/>
    </xf>
    <xf numFmtId="0" fontId="39" fillId="0" borderId="1" xfId="0" applyFont="1" applyBorder="1">
      <alignment vertical="center"/>
    </xf>
    <xf numFmtId="0" fontId="39" fillId="0" borderId="1" xfId="0" applyFont="1" applyBorder="1" applyAlignment="1">
      <alignment vertical="center" shrinkToFit="1"/>
    </xf>
    <xf numFmtId="0" fontId="39" fillId="0" borderId="1" xfId="0" applyFont="1" applyBorder="1" applyAlignment="1">
      <alignment vertical="center" wrapText="1" shrinkToFit="1"/>
    </xf>
    <xf numFmtId="0" fontId="39" fillId="0" borderId="1" xfId="0" applyFont="1" applyBorder="1" applyAlignment="1">
      <alignment vertical="center" wrapText="1"/>
    </xf>
    <xf numFmtId="0" fontId="37" fillId="0" borderId="0" xfId="124" applyFont="1">
      <alignment vertical="center"/>
    </xf>
    <xf numFmtId="0" fontId="37" fillId="0" borderId="0" xfId="124" applyFont="1" applyAlignment="1">
      <alignment vertical="top"/>
    </xf>
    <xf numFmtId="0" fontId="37" fillId="0" borderId="19" xfId="124" applyFont="1" applyBorder="1" applyAlignment="1">
      <alignment horizontal="left" vertical="center"/>
    </xf>
    <xf numFmtId="0" fontId="41" fillId="0" borderId="1" xfId="125" applyFont="1" applyBorder="1" applyAlignment="1">
      <alignment vertical="center" wrapText="1"/>
    </xf>
    <xf numFmtId="0" fontId="41" fillId="0" borderId="1" xfId="125" applyFont="1" applyBorder="1">
      <alignment vertical="center"/>
    </xf>
    <xf numFmtId="0" fontId="39" fillId="0" borderId="1" xfId="0" applyFont="1" applyBorder="1" applyAlignment="1">
      <alignment horizontal="center" vertical="center"/>
    </xf>
    <xf numFmtId="0" fontId="41" fillId="0" borderId="1" xfId="125" applyFont="1" applyFill="1" applyBorder="1" applyAlignment="1">
      <alignment vertical="center" wrapText="1"/>
    </xf>
    <xf numFmtId="0" fontId="39" fillId="25" borderId="21" xfId="0" applyFont="1" applyFill="1" applyBorder="1">
      <alignment vertical="center"/>
    </xf>
    <xf numFmtId="0" fontId="39" fillId="25" borderId="23" xfId="0" applyFont="1" applyFill="1" applyBorder="1" applyAlignment="1">
      <alignment vertical="center" wrapText="1"/>
    </xf>
    <xf numFmtId="0" fontId="39" fillId="25" borderId="24" xfId="0" applyFont="1" applyFill="1" applyBorder="1" applyAlignment="1">
      <alignment vertical="center" wrapText="1"/>
    </xf>
    <xf numFmtId="0" fontId="39" fillId="25" borderId="21" xfId="0" applyFont="1" applyFill="1" applyBorder="1" applyAlignment="1">
      <alignment vertical="center" wrapText="1"/>
    </xf>
    <xf numFmtId="0" fontId="39" fillId="25" borderId="22" xfId="0" applyFont="1" applyFill="1" applyBorder="1">
      <alignment vertical="center"/>
    </xf>
    <xf numFmtId="0" fontId="39" fillId="25" borderId="1" xfId="0" applyFont="1" applyFill="1" applyBorder="1" applyAlignment="1">
      <alignment vertical="center" wrapText="1"/>
    </xf>
    <xf numFmtId="0" fontId="39" fillId="25" borderId="22" xfId="0" applyFont="1" applyFill="1" applyBorder="1" applyAlignment="1">
      <alignment vertical="center" wrapText="1"/>
    </xf>
    <xf numFmtId="0" fontId="39" fillId="0" borderId="1" xfId="125" applyFont="1" applyBorder="1" applyAlignment="1">
      <alignment vertical="center" wrapText="1"/>
    </xf>
    <xf numFmtId="0" fontId="39" fillId="0" borderId="1" xfId="125" applyFont="1" applyBorder="1">
      <alignment vertical="center"/>
    </xf>
    <xf numFmtId="0" fontId="39" fillId="0" borderId="1" xfId="125" applyFont="1" applyFill="1" applyBorder="1" applyAlignment="1">
      <alignment vertical="center" wrapText="1"/>
    </xf>
    <xf numFmtId="0" fontId="39" fillId="26" borderId="16" xfId="124" applyFont="1" applyFill="1" applyBorder="1" applyAlignment="1">
      <alignment horizontal="center" vertical="center"/>
    </xf>
    <xf numFmtId="0" fontId="39" fillId="25" borderId="21" xfId="0" applyFont="1" applyFill="1" applyBorder="1" applyAlignment="1">
      <alignment horizontal="center" vertical="center"/>
    </xf>
    <xf numFmtId="0" fontId="39" fillId="0" borderId="20" xfId="0" applyFont="1" applyBorder="1" applyAlignment="1">
      <alignment vertical="center" wrapText="1" shrinkToFit="1"/>
    </xf>
    <xf numFmtId="0" fontId="39" fillId="0" borderId="20" xfId="0" applyFont="1" applyBorder="1" applyAlignment="1">
      <alignment vertical="center" shrinkToFit="1"/>
    </xf>
    <xf numFmtId="49" fontId="39" fillId="0" borderId="31" xfId="0" applyNumberFormat="1" applyFont="1" applyBorder="1" applyAlignment="1">
      <alignment vertical="center" wrapText="1" shrinkToFit="1"/>
    </xf>
    <xf numFmtId="0" fontId="39" fillId="0" borderId="1" xfId="125" applyFont="1" applyFill="1" applyBorder="1">
      <alignment vertical="center"/>
    </xf>
    <xf numFmtId="0" fontId="41" fillId="0" borderId="1" xfId="125" applyFont="1" applyFill="1" applyBorder="1">
      <alignment vertical="center"/>
    </xf>
    <xf numFmtId="0" fontId="39" fillId="27" borderId="1" xfId="0" applyFont="1" applyFill="1" applyBorder="1" applyAlignment="1">
      <alignment horizontal="center" vertical="center"/>
    </xf>
    <xf numFmtId="0" fontId="39" fillId="27" borderId="1" xfId="125" applyFont="1" applyFill="1" applyBorder="1">
      <alignment vertical="center"/>
    </xf>
    <xf numFmtId="0" fontId="41" fillId="27" borderId="1" xfId="125" applyFont="1" applyFill="1" applyBorder="1">
      <alignment vertical="center"/>
    </xf>
    <xf numFmtId="0" fontId="39" fillId="27" borderId="1" xfId="0" applyFont="1" applyFill="1" applyBorder="1" applyAlignment="1">
      <alignment vertical="center" wrapText="1"/>
    </xf>
    <xf numFmtId="0" fontId="39" fillId="27" borderId="1" xfId="0" applyFont="1" applyFill="1" applyBorder="1">
      <alignment vertical="center"/>
    </xf>
    <xf numFmtId="0" fontId="39" fillId="27" borderId="1" xfId="0" applyFont="1" applyFill="1" applyBorder="1" applyAlignment="1">
      <alignment vertical="center" shrinkToFit="1"/>
    </xf>
    <xf numFmtId="0" fontId="39" fillId="27" borderId="1" xfId="125" applyFont="1" applyFill="1" applyBorder="1" applyAlignment="1">
      <alignment vertical="center" wrapText="1"/>
    </xf>
    <xf numFmtId="0" fontId="41" fillId="27" borderId="1" xfId="125" applyFont="1" applyFill="1" applyBorder="1" applyAlignment="1">
      <alignment vertical="center" wrapText="1"/>
    </xf>
    <xf numFmtId="0" fontId="39" fillId="0" borderId="0" xfId="0" applyFont="1" applyAlignment="1">
      <alignment horizontal="center" vertical="center"/>
    </xf>
    <xf numFmtId="0" fontId="39" fillId="0" borderId="0" xfId="125" applyFont="1" applyFill="1" applyBorder="1" applyAlignment="1">
      <alignment vertical="center" wrapText="1"/>
    </xf>
    <xf numFmtId="0" fontId="41" fillId="0" borderId="0" xfId="125" applyFont="1" applyFill="1" applyBorder="1" applyAlignment="1">
      <alignment vertical="center" wrapText="1"/>
    </xf>
    <xf numFmtId="0" fontId="39" fillId="0" borderId="0" xfId="0" applyFont="1" applyAlignment="1">
      <alignment vertical="center" wrapText="1"/>
    </xf>
    <xf numFmtId="0" fontId="39" fillId="0" borderId="0" xfId="0" applyFont="1" applyAlignment="1">
      <alignment vertical="center" shrinkToFit="1"/>
    </xf>
    <xf numFmtId="0" fontId="37" fillId="0" borderId="31" xfId="0" applyFont="1" applyBorder="1" applyAlignment="1"/>
    <xf numFmtId="0" fontId="39" fillId="25" borderId="33" xfId="0" applyFont="1" applyFill="1" applyBorder="1" applyAlignment="1">
      <alignment vertical="center" wrapText="1"/>
    </xf>
    <xf numFmtId="0" fontId="39" fillId="0" borderId="31" xfId="125" applyFont="1" applyBorder="1" applyAlignment="1">
      <alignment horizontal="center" vertical="center" wrapText="1"/>
    </xf>
    <xf numFmtId="0" fontId="39" fillId="0" borderId="31" xfId="125" applyFont="1" applyBorder="1" applyAlignment="1">
      <alignment horizontal="center" vertical="center"/>
    </xf>
    <xf numFmtId="0" fontId="39" fillId="0" borderId="31" xfId="125" applyFont="1" applyFill="1" applyBorder="1" applyAlignment="1">
      <alignment horizontal="center" vertical="center"/>
    </xf>
    <xf numFmtId="0" fontId="39" fillId="0" borderId="31" xfId="125" applyFont="1" applyFill="1" applyBorder="1" applyAlignment="1">
      <alignment horizontal="center" vertical="center" wrapText="1"/>
    </xf>
    <xf numFmtId="0" fontId="39" fillId="25" borderId="34" xfId="0" applyFont="1" applyFill="1" applyBorder="1" applyAlignment="1">
      <alignment vertical="center" wrapText="1"/>
    </xf>
    <xf numFmtId="0" fontId="39" fillId="25" borderId="32" xfId="0" applyFont="1" applyFill="1" applyBorder="1" applyAlignment="1">
      <alignment horizontal="centerContinuous" vertical="center" wrapText="1"/>
    </xf>
    <xf numFmtId="0" fontId="39" fillId="25" borderId="35" xfId="0" applyFont="1" applyFill="1" applyBorder="1" applyAlignment="1">
      <alignment horizontal="centerContinuous" vertical="center" wrapText="1"/>
    </xf>
    <xf numFmtId="0" fontId="39" fillId="25" borderId="36" xfId="0" applyFont="1" applyFill="1" applyBorder="1" applyAlignment="1">
      <alignment horizontal="centerContinuous" vertical="center" wrapText="1"/>
    </xf>
    <xf numFmtId="0" fontId="39" fillId="27" borderId="31" xfId="125" applyFont="1" applyFill="1" applyBorder="1" applyAlignment="1">
      <alignment horizontal="center" vertical="center" wrapText="1"/>
    </xf>
    <xf numFmtId="0" fontId="39" fillId="27" borderId="31" xfId="125" applyFont="1" applyFill="1" applyBorder="1" applyAlignment="1">
      <alignment horizontal="center" vertical="center"/>
    </xf>
    <xf numFmtId="0" fontId="39" fillId="27" borderId="31" xfId="125" applyFont="1" applyFill="1" applyBorder="1" applyAlignment="1">
      <alignment vertical="center" wrapText="1"/>
    </xf>
    <xf numFmtId="0" fontId="39" fillId="0" borderId="31" xfId="0" applyFont="1" applyBorder="1" applyAlignment="1">
      <alignment vertical="center" shrinkToFit="1"/>
    </xf>
    <xf numFmtId="0" fontId="39" fillId="27" borderId="31" xfId="0" applyFont="1" applyFill="1" applyBorder="1" applyAlignment="1">
      <alignment vertical="center" wrapText="1"/>
    </xf>
    <xf numFmtId="0" fontId="39" fillId="27" borderId="31" xfId="0" applyFont="1" applyFill="1" applyBorder="1" applyAlignment="1">
      <alignment vertical="center" shrinkToFit="1"/>
    </xf>
    <xf numFmtId="0" fontId="44" fillId="0" borderId="0" xfId="0" applyFont="1">
      <alignment vertical="center"/>
    </xf>
    <xf numFmtId="49" fontId="39" fillId="0" borderId="20" xfId="0" applyNumberFormat="1" applyFont="1" applyBorder="1" applyAlignment="1">
      <alignment vertical="center" wrapText="1" shrinkToFit="1"/>
    </xf>
    <xf numFmtId="0" fontId="37" fillId="0" borderId="20" xfId="0" applyFont="1" applyBorder="1">
      <alignment vertical="center"/>
    </xf>
    <xf numFmtId="0" fontId="39" fillId="25" borderId="20" xfId="124" applyFont="1" applyFill="1" applyBorder="1" applyAlignment="1">
      <alignment horizontal="left" vertical="center"/>
    </xf>
    <xf numFmtId="0" fontId="39" fillId="25" borderId="18" xfId="124" applyFont="1" applyFill="1" applyBorder="1" applyAlignment="1">
      <alignment horizontal="left" vertical="center"/>
    </xf>
    <xf numFmtId="0" fontId="41" fillId="0" borderId="17" xfId="125" applyFont="1" applyBorder="1" applyAlignment="1">
      <alignment horizontal="center" vertical="center"/>
    </xf>
  </cellXfs>
  <cellStyles count="143">
    <cellStyle name="20% - アクセント 1 2" xfId="2" xr:uid="{172D7FA5-EA8D-47F1-95D6-5C090D2C761C}"/>
    <cellStyle name="20% - アクセント 1 3" xfId="3" xr:uid="{6B2EBAFD-6043-4570-BA04-E40E9239666C}"/>
    <cellStyle name="20% - アクセント 2 2" xfId="4" xr:uid="{8CD4A5FA-F01A-4E90-9232-4D5BC91F9699}"/>
    <cellStyle name="20% - アクセント 2 3" xfId="5" xr:uid="{97658F68-40F1-4BFC-A741-4D13E4BDC4A4}"/>
    <cellStyle name="20% - アクセント 3 2" xfId="6" xr:uid="{FD02ADEB-3847-410E-8D84-D489C8F67E4F}"/>
    <cellStyle name="20% - アクセント 3 3" xfId="7" xr:uid="{99777133-17C2-4DF4-BFAF-CF9EBDABC9E9}"/>
    <cellStyle name="20% - アクセント 4 2" xfId="8" xr:uid="{42EF8861-6DB9-47D1-BEA4-B0AEDA62A9C5}"/>
    <cellStyle name="20% - アクセント 4 3" xfId="9" xr:uid="{F0D1F13D-A777-41B2-8C6A-603FD861856F}"/>
    <cellStyle name="20% - アクセント 5 2" xfId="10" xr:uid="{2A985324-9975-427C-B08C-40C82A267D69}"/>
    <cellStyle name="20% - アクセント 5 3" xfId="11" xr:uid="{C6C50D98-B642-4603-84A7-D68D4A6CBE18}"/>
    <cellStyle name="20% - アクセント 6 2" xfId="12" xr:uid="{940FBABC-DD3D-464E-8C45-1BEFA747E7AF}"/>
    <cellStyle name="20% - アクセント 6 3" xfId="13" xr:uid="{BA62AC74-CB11-4E49-9C34-44A57B571A50}"/>
    <cellStyle name="40% - アクセント 1 2" xfId="14" xr:uid="{D0F4CBCB-1A95-439E-9720-5B8C1A32BED3}"/>
    <cellStyle name="40% - アクセント 1 3" xfId="15" xr:uid="{F90C2D2A-D019-4A79-9BC1-7D4245D15AAA}"/>
    <cellStyle name="40% - アクセント 2 2" xfId="16" xr:uid="{76745D56-05C8-4A08-A811-28254B85E378}"/>
    <cellStyle name="40% - アクセント 2 3" xfId="17" xr:uid="{E6C248B8-CA9E-413D-AB4F-D1E35BE1E1E3}"/>
    <cellStyle name="40% - アクセント 3 2" xfId="18" xr:uid="{C5098F58-34D3-476A-AE41-408B5F5CE473}"/>
    <cellStyle name="40% - アクセント 3 3" xfId="19" xr:uid="{96AB6D0B-FB48-4AC0-AF4B-0D35D35CAAF3}"/>
    <cellStyle name="40% - アクセント 4 2" xfId="20" xr:uid="{7F0FA3DD-CE47-4369-AE8A-3A518CDA2209}"/>
    <cellStyle name="40% - アクセント 4 3" xfId="21" xr:uid="{85C6BC16-7B79-4640-9698-079CE6953415}"/>
    <cellStyle name="40% - アクセント 5 2" xfId="22" xr:uid="{2F97B48A-6AB6-42A4-8757-02589933B950}"/>
    <cellStyle name="40% - アクセント 5 3" xfId="23" xr:uid="{574E266E-F0FB-44C6-B367-476F8A91E07D}"/>
    <cellStyle name="40% - アクセント 6 2" xfId="24" xr:uid="{A66CFB1C-A5E0-4889-9CE2-59FFE1984391}"/>
    <cellStyle name="40% - アクセント 6 3" xfId="25" xr:uid="{78ACBC71-E72C-403C-9547-7C32B9158E2A}"/>
    <cellStyle name="60% - アクセント 1 2" xfId="26" xr:uid="{F64632D3-E3C3-4EE3-B680-1241D94E33AE}"/>
    <cellStyle name="60% - アクセント 1 3" xfId="27" xr:uid="{DE2280A5-D728-4EE4-979E-EEB3BA40AA40}"/>
    <cellStyle name="60% - アクセント 2 2" xfId="28" xr:uid="{4687160F-7477-4686-9259-49D06BBD486E}"/>
    <cellStyle name="60% - アクセント 2 3" xfId="29" xr:uid="{BD0DF088-185E-4CCE-B78B-E3000C07989D}"/>
    <cellStyle name="60% - アクセント 3 2" xfId="30" xr:uid="{1957F404-A440-4AB2-8DB4-9E187719DF36}"/>
    <cellStyle name="60% - アクセント 3 3" xfId="31" xr:uid="{565349F2-5C98-43BE-B69E-CB005D1BD995}"/>
    <cellStyle name="60% - アクセント 4 2" xfId="32" xr:uid="{D3495964-17B4-422E-9681-2CE1C6FE35DA}"/>
    <cellStyle name="60% - アクセント 4 3" xfId="33" xr:uid="{5428A8F3-1E67-4AD6-A150-3F72757B6D26}"/>
    <cellStyle name="60% - アクセント 5 2" xfId="34" xr:uid="{1C47876A-2D1E-4DB0-9F25-88EEC991B648}"/>
    <cellStyle name="60% - アクセント 5 3" xfId="35" xr:uid="{211D2E25-BE70-404B-9B19-862D67BED8CF}"/>
    <cellStyle name="60% - アクセント 6 2" xfId="36" xr:uid="{B1D32A7C-856F-48A6-89CD-AC147718ECA9}"/>
    <cellStyle name="60% - アクセント 6 3" xfId="37" xr:uid="{00FB4C2A-6CFC-4831-B4E5-321828F95219}"/>
    <cellStyle name="BD標準" xfId="38" xr:uid="{65B319DE-B632-4EA0-8D8F-F8D608B496A2}"/>
    <cellStyle name="Border" xfId="39" xr:uid="{5D17170A-F597-49C3-ADB3-624A910ADD05}"/>
    <cellStyle name="Border 2" xfId="127" xr:uid="{FB52146C-7BDF-4560-A156-69589D754E59}"/>
    <cellStyle name="Calc Currency (0)" xfId="40" xr:uid="{D3DA19FE-9FE4-4851-BF59-4925FD853BEE}"/>
    <cellStyle name="category" xfId="41" xr:uid="{5B176843-2F7F-4A1E-8564-57D152AAB22E}"/>
    <cellStyle name="Comma [0]_CCOCPX" xfId="42" xr:uid="{D03370BD-8368-4019-B106-731974AA9A6B}"/>
    <cellStyle name="Comma_Capex" xfId="43" xr:uid="{D49416F6-0729-487B-9836-491852241A0D}"/>
    <cellStyle name="Currency [0]_CCOCPX" xfId="44" xr:uid="{56DC0A47-45EC-4C83-B361-29128F0F4BB3}"/>
    <cellStyle name="Currency_CCOCPX" xfId="45" xr:uid="{0A2F6A63-5849-4E62-BDAB-2EF17796632B}"/>
    <cellStyle name="Grey" xfId="46" xr:uid="{7B5F34E4-E873-409D-BB9C-757DFB4921CF}"/>
    <cellStyle name="HEADER" xfId="47" xr:uid="{C260463A-7A65-42C4-B83F-603A96F99F92}"/>
    <cellStyle name="Header1" xfId="48" xr:uid="{EF4228EF-BBAE-4935-987A-D4A5021BF21B}"/>
    <cellStyle name="Header2" xfId="49" xr:uid="{77C49C1F-7806-415F-B5DA-294BFAE5E8E1}"/>
    <cellStyle name="Header2 2" xfId="128" xr:uid="{F5F62FEE-9C13-4EAE-AE9E-FA28D0B5EEB6}"/>
    <cellStyle name="Input [yellow]" xfId="50" xr:uid="{DC0CCE3E-08AF-48EB-A2F1-C4FD2048959E}"/>
    <cellStyle name="Input [yellow] 2" xfId="129" xr:uid="{9423A86A-BF07-438B-9850-0CF5ECC97A7F}"/>
    <cellStyle name="Model" xfId="51" xr:uid="{D3E89461-652C-4755-A703-652843BCD574}"/>
    <cellStyle name="Normal - Style1" xfId="52" xr:uid="{FE900F8E-FA24-4C74-963D-D2A86717D4A0}"/>
    <cellStyle name="Normal - Style1 2" xfId="53" xr:uid="{81723C8C-5B32-4B40-B18D-21779BE33E9E}"/>
    <cellStyle name="Normal - Style1_001_【画面レイアウト】受発注・受注登録画面（ユーザ提示用）" xfId="54" xr:uid="{4D8F6231-5743-400A-913C-35BA8EF089A1}"/>
    <cellStyle name="Normal_#18-Internet" xfId="55" xr:uid="{92444DBE-F676-4E2D-91B1-02664714ACBF}"/>
    <cellStyle name="Percent [2]" xfId="56" xr:uid="{FB0D4D0E-92A7-44CA-B7B8-3CC574653FAC}"/>
    <cellStyle name="PSChar" xfId="57" xr:uid="{4DBFC355-C4D1-4632-B385-FC854A3CACC9}"/>
    <cellStyle name="PSHeading" xfId="58" xr:uid="{9AEA5FD5-7082-496A-AB3F-7B170A8F93CF}"/>
    <cellStyle name="quest" xfId="59" xr:uid="{6285C037-E897-400E-A6C0-6E0966AE20B6}"/>
    <cellStyle name="subhead" xfId="60" xr:uid="{3F188DE9-60A9-42A4-9E29-E896624D396D}"/>
    <cellStyle name="umeda" xfId="61" xr:uid="{E5C93D9E-396D-4669-B61B-C0603464D86D}"/>
    <cellStyle name="アクセント 1 2" xfId="62" xr:uid="{222B1D88-B41F-4255-A4AB-5F4A299D9BC5}"/>
    <cellStyle name="アクセント 1 3" xfId="63" xr:uid="{A708FC26-D585-458F-A93D-72EB42160723}"/>
    <cellStyle name="アクセント 2 2" xfId="64" xr:uid="{00DD6473-EB09-419E-99F3-024671525A69}"/>
    <cellStyle name="アクセント 2 3" xfId="65" xr:uid="{7C835F5F-526D-4241-9389-067329AA394F}"/>
    <cellStyle name="アクセント 3 2" xfId="66" xr:uid="{4F1D1D1F-FD51-47B0-94D3-3C9F78BF597E}"/>
    <cellStyle name="アクセント 3 3" xfId="67" xr:uid="{617B89BE-0C19-4B65-B142-48A19346FDE9}"/>
    <cellStyle name="アクセント 4 2" xfId="68" xr:uid="{0CA22A72-903E-495F-878D-0F3ECE0EB7EC}"/>
    <cellStyle name="アクセント 4 3" xfId="69" xr:uid="{EE7628A5-A3AA-468D-9A65-308C02C1A5D4}"/>
    <cellStyle name="アクセント 5 2" xfId="70" xr:uid="{1C1D5EE7-A5CC-4833-B06C-D7FEF14BE315}"/>
    <cellStyle name="アクセント 5 3" xfId="71" xr:uid="{95A3E485-6FD4-4773-9E16-1C51E2D34E61}"/>
    <cellStyle name="アクセント 6 2" xfId="72" xr:uid="{A20DC41C-6D80-4B9D-B17E-7A7B766F22DB}"/>
    <cellStyle name="アクセント 6 3" xfId="73" xr:uid="{5C577399-4FA6-405E-A704-8D2666117F24}"/>
    <cellStyle name="タイトル 2" xfId="74" xr:uid="{D716B6A4-9BF3-4FAF-886C-797301D82215}"/>
    <cellStyle name="タイトル 3" xfId="75" xr:uid="{E0C04B8F-509A-48CF-AE15-03E68DF3C5AC}"/>
    <cellStyle name="チェック セル 2" xfId="76" xr:uid="{0200A85C-6004-4FA8-89A4-BAF0CB6B614C}"/>
    <cellStyle name="チェック セル 3" xfId="77" xr:uid="{2E2B27F7-E4E4-4A43-942E-C7B0D4D58CDE}"/>
    <cellStyle name="どちらでもない 2" xfId="78" xr:uid="{8E5EF74A-7C6D-4433-A03A-E04A54869609}"/>
    <cellStyle name="どちらでもない 3" xfId="79" xr:uid="{6FB16562-5CD2-43AE-9B4C-1B66DBCA61C1}"/>
    <cellStyle name="ハイパーリンク" xfId="125" builtinId="8"/>
    <cellStyle name="メモ 2" xfId="80" xr:uid="{E44B4348-243C-4DF6-9B50-91246E3F12D1}"/>
    <cellStyle name="メモ 2 2" xfId="130" xr:uid="{4E97C3D2-E027-4895-95CC-886445BC5238}"/>
    <cellStyle name="メモ 3" xfId="81" xr:uid="{31D285ED-C191-498E-9DDC-620F484A758C}"/>
    <cellStyle name="メモ 3 2" xfId="131" xr:uid="{6C630912-D7A2-41E1-A9D5-3E6B4850A9A9}"/>
    <cellStyle name="リンク セル 2" xfId="82" xr:uid="{D6D501BF-76CB-4781-81A7-5544A79C7E06}"/>
    <cellStyle name="リンク セル 3" xfId="83" xr:uid="{54D56E03-AD90-436D-BC54-84FD7A227CE2}"/>
    <cellStyle name="悪い 2" xfId="84" xr:uid="{805CBF7D-0D45-4302-A283-0A5324CB0536}"/>
    <cellStyle name="悪い 3" xfId="85" xr:uid="{7EEE0BB5-899D-4B49-ADA2-3D9FB630BFE0}"/>
    <cellStyle name="計算 2" xfId="86" xr:uid="{3962AA0C-773F-4EBA-8F8B-22BE64166A6B}"/>
    <cellStyle name="計算 2 2" xfId="132" xr:uid="{2D24B7C2-D9ED-4540-96DF-1FCFA2D16F73}"/>
    <cellStyle name="計算 3" xfId="87" xr:uid="{1E52DD91-2299-450A-9D2D-AB49A0E393EF}"/>
    <cellStyle name="計算 3 2" xfId="133" xr:uid="{B5387859-029A-46F6-BE09-5440DEC9F3E5}"/>
    <cellStyle name="警告文 2" xfId="88" xr:uid="{672C2BFE-2E6D-4820-B486-2B1D2598BFF1}"/>
    <cellStyle name="警告文 3" xfId="89" xr:uid="{DE20CD4D-0DBE-4F77-9362-02E18D6116B6}"/>
    <cellStyle name="見出し 1 2" xfId="90" xr:uid="{190EED0D-AD60-4889-BE85-7CDA268482B0}"/>
    <cellStyle name="見出し 1 3" xfId="91" xr:uid="{3D6E7650-2D5A-42F7-99D2-312DBCE2A916}"/>
    <cellStyle name="見出し 2 2" xfId="92" xr:uid="{AB01C694-86E8-4737-B912-41D78901B5E4}"/>
    <cellStyle name="見出し 2 3" xfId="93" xr:uid="{B6E12ADC-5F01-4D64-9CAB-65D1C998B1A2}"/>
    <cellStyle name="見出し 3 2" xfId="94" xr:uid="{FC233E75-D39E-4CCC-845D-60809986CA78}"/>
    <cellStyle name="見出し 3 3" xfId="95" xr:uid="{8CF35170-D987-4E4E-AB37-0EFFAD901636}"/>
    <cellStyle name="見出し 4 2" xfId="96" xr:uid="{3C25B919-D96C-4956-9D48-979A04608C37}"/>
    <cellStyle name="見出し 4 3" xfId="97" xr:uid="{94E7A7E7-76CD-424B-9664-0639BE8E0CC3}"/>
    <cellStyle name="集計 2" xfId="98" xr:uid="{340F0923-923B-48AF-8DD8-851EC305143E}"/>
    <cellStyle name="集計 2 2" xfId="134" xr:uid="{50327161-1BFE-4329-B4C8-5F7217C05ED0}"/>
    <cellStyle name="集計 3" xfId="99" xr:uid="{9F4083DD-55BA-43D8-ADFA-D3D0584F5D03}"/>
    <cellStyle name="集計 3 2" xfId="135" xr:uid="{D2933528-CA11-41CB-A3E2-8950D0EBC366}"/>
    <cellStyle name="出力 2" xfId="100" xr:uid="{BC05036B-ABC4-4277-AD20-BE1378467255}"/>
    <cellStyle name="出力 2 2" xfId="136" xr:uid="{F069F706-B317-47BA-8605-E6905F99D8D2}"/>
    <cellStyle name="出力 3" xfId="101" xr:uid="{7B99259F-3D7D-4C9C-BB00-C570D3D9E3B7}"/>
    <cellStyle name="出力 3 2" xfId="137" xr:uid="{588A821D-B39C-48EB-8F16-BC3FDAD970F2}"/>
    <cellStyle name="説明文 2" xfId="102" xr:uid="{296A9969-811B-484A-A9AC-C7726B87D6BC}"/>
    <cellStyle name="説明文 3" xfId="103" xr:uid="{A986C040-9AEC-47B2-8D0A-604FD503414E}"/>
    <cellStyle name="追加スタイル（梅田）" xfId="104" xr:uid="{BACF3D10-ABC0-4F52-B2EB-BA50D56388E4}"/>
    <cellStyle name="入力 2" xfId="105" xr:uid="{CED7E874-0AC5-45C5-9256-2714C02DB308}"/>
    <cellStyle name="入力 2 2" xfId="138" xr:uid="{F61E7B68-9FCF-4D16-AE52-C18A117C428F}"/>
    <cellStyle name="入力 3" xfId="106" xr:uid="{5EA294B0-6098-4CF2-B493-18A31E68E8A2}"/>
    <cellStyle name="入力 3 2" xfId="139" xr:uid="{7E46FD3D-38E1-430C-9D02-C57874B9FB0D}"/>
    <cellStyle name="標準" xfId="0" builtinId="0"/>
    <cellStyle name="標準 2" xfId="107" xr:uid="{3BF70808-2A94-4EEB-BEC5-AB360EABC568}"/>
    <cellStyle name="標準 24" xfId="123" xr:uid="{E3BA3F0F-76DC-4E8B-A2F3-0B1673A33F62}"/>
    <cellStyle name="標準 3" xfId="108" xr:uid="{362976D2-AC7E-4E64-A152-619B0E09481B}"/>
    <cellStyle name="標準 32 7 3" xfId="126" xr:uid="{DABB1DBD-8C62-4205-AC2A-809ED71D3417}"/>
    <cellStyle name="標準 34 2 5 3" xfId="124" xr:uid="{91D01171-A781-459C-B09D-AC7E4A242AFA}"/>
    <cellStyle name="標準 4" xfId="1" xr:uid="{9DB1A57D-7997-4538-94EF-C579FED24C2C}"/>
    <cellStyle name="標準 5" xfId="142" xr:uid="{F02EBA56-AB06-4D42-8C0B-8A7AA20900D5}"/>
    <cellStyle name="標準仕様書" xfId="109" xr:uid="{0E31600B-BF33-4FF4-9D71-20936870A673}"/>
    <cellStyle name="未定義" xfId="110" xr:uid="{F782B4BB-374A-483F-9A24-C9AA4AF01CE2}"/>
    <cellStyle name="良い 2" xfId="111" xr:uid="{6E06EFB5-DD66-481F-8D12-8DE7DA0953D0}"/>
    <cellStyle name="良い 3" xfId="112" xr:uid="{9E0371C0-5DDF-40FF-8B91-7E0CC76C75F7}"/>
    <cellStyle name="㼿" xfId="113" xr:uid="{6C9AA4B7-EE7A-4616-97C5-D74280B7BFA4}"/>
    <cellStyle name="㼿 2" xfId="140" xr:uid="{0847E6AD-98E2-45F1-A1EC-031678D1C2E7}"/>
    <cellStyle name="㼿?" xfId="114" xr:uid="{BFE01D64-6854-4B4D-B1EE-79E542761FBE}"/>
    <cellStyle name="㼿㼿" xfId="115" xr:uid="{1428620D-D3E2-4FB1-A258-11CC7D376332}"/>
    <cellStyle name="㼿㼿 2" xfId="141" xr:uid="{692D8030-C0F7-48C6-BAFB-EE9A6E52B24C}"/>
    <cellStyle name="㼿㼿?" xfId="116" xr:uid="{FD62C905-511B-42ED-8C75-BBD58402ACE9}"/>
    <cellStyle name="㼿㼿㼿" xfId="117" xr:uid="{F242CC31-AE54-4F82-837C-C18712381452}"/>
    <cellStyle name="㼿㼿㼿?" xfId="118" xr:uid="{6B28B4B4-A71A-40F2-B45B-CC4AD03BE95B}"/>
    <cellStyle name="㼿㼿㼿㼿" xfId="119" xr:uid="{CC88C8B9-F10A-4617-B4AD-B50BF51117DD}"/>
    <cellStyle name="㼿㼿㼿㼿?" xfId="120" xr:uid="{CC263A5B-58A3-4C4B-9A72-FA02425453FB}"/>
    <cellStyle name="㼿㼿㼿㼿㼿㼿?" xfId="121" xr:uid="{6F9F7446-54E7-406C-A326-D0EB92A815CA}"/>
    <cellStyle name="㼿㼿㼿㼿㼿㼿㼿?" xfId="122" xr:uid="{3BA2DA27-02AB-4103-9C99-D6F2BBE5B1D0}"/>
  </cellStyles>
  <dxfs count="0"/>
  <tableStyles count="0" defaultTableStyle="TableStyleMedium2" defaultPivotStyle="PivotStyleLight16"/>
  <colors>
    <mruColors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0F767-3913-496D-BA50-99828E662FD2}">
  <sheetPr>
    <tabColor rgb="FFFFFF00"/>
  </sheetPr>
  <dimension ref="A1:T20"/>
  <sheetViews>
    <sheetView showGridLines="0" tabSelected="1" workbookViewId="0">
      <selection activeCell="B15" sqref="B15"/>
    </sheetView>
  </sheetViews>
  <sheetFormatPr defaultColWidth="9" defaultRowHeight="15.75" x14ac:dyDescent="0.4"/>
  <cols>
    <col min="1" max="1" width="4.25" style="1" customWidth="1"/>
    <col min="2" max="2" width="5.625" style="1" customWidth="1"/>
    <col min="3" max="4" width="7.375" style="2" bestFit="1" customWidth="1"/>
    <col min="5" max="5" width="11.875" style="1" bestFit="1" customWidth="1"/>
    <col min="6" max="6" width="23.125" style="2" bestFit="1" customWidth="1"/>
    <col min="7" max="7" width="24.125" style="2" bestFit="1" customWidth="1"/>
    <col min="8" max="17" width="5.75" style="2" customWidth="1"/>
    <col min="18" max="18" width="24.375" style="2" bestFit="1" customWidth="1"/>
    <col min="19" max="19" width="94.375" style="1" bestFit="1" customWidth="1"/>
    <col min="20" max="20" width="29.5" style="2" bestFit="1" customWidth="1"/>
    <col min="21" max="16384" width="9" style="1"/>
  </cols>
  <sheetData>
    <row r="1" spans="1:20" x14ac:dyDescent="0.4">
      <c r="A1" s="1" t="s">
        <v>76</v>
      </c>
    </row>
    <row r="3" spans="1:20" x14ac:dyDescent="0.4">
      <c r="B3" s="1" t="s">
        <v>131</v>
      </c>
    </row>
    <row r="4" spans="1:20" ht="31.5" customHeight="1" x14ac:dyDescent="0.4">
      <c r="B4" s="26" t="s">
        <v>3</v>
      </c>
      <c r="C4" s="46" t="s">
        <v>115</v>
      </c>
      <c r="D4" s="46" t="s">
        <v>116</v>
      </c>
      <c r="E4" s="15" t="s">
        <v>10</v>
      </c>
      <c r="F4" s="16" t="s">
        <v>15</v>
      </c>
      <c r="G4" s="17"/>
      <c r="H4" s="52" t="s">
        <v>125</v>
      </c>
      <c r="I4" s="53"/>
      <c r="J4" s="53"/>
      <c r="K4" s="53"/>
      <c r="L4" s="54"/>
      <c r="M4" s="52" t="s">
        <v>126</v>
      </c>
      <c r="N4" s="53"/>
      <c r="O4" s="53"/>
      <c r="P4" s="53"/>
      <c r="Q4" s="54"/>
      <c r="R4" s="18" t="s">
        <v>7</v>
      </c>
      <c r="S4" s="15" t="s">
        <v>0</v>
      </c>
      <c r="T4" s="18" t="s">
        <v>1</v>
      </c>
    </row>
    <row r="5" spans="1:20" ht="47.25" x14ac:dyDescent="0.4">
      <c r="B5" s="19"/>
      <c r="C5" s="21"/>
      <c r="D5" s="21"/>
      <c r="E5" s="19"/>
      <c r="F5" s="20" t="s">
        <v>14</v>
      </c>
      <c r="G5" s="20" t="s">
        <v>16</v>
      </c>
      <c r="H5" s="51" t="s">
        <v>119</v>
      </c>
      <c r="I5" s="51" t="s">
        <v>120</v>
      </c>
      <c r="J5" s="51" t="s">
        <v>121</v>
      </c>
      <c r="K5" s="51" t="s">
        <v>122</v>
      </c>
      <c r="L5" s="51" t="s">
        <v>123</v>
      </c>
      <c r="M5" s="51" t="s">
        <v>119</v>
      </c>
      <c r="N5" s="51" t="s">
        <v>120</v>
      </c>
      <c r="O5" s="51" t="s">
        <v>121</v>
      </c>
      <c r="P5" s="51" t="s">
        <v>122</v>
      </c>
      <c r="Q5" s="51" t="s">
        <v>123</v>
      </c>
      <c r="R5" s="21"/>
      <c r="S5" s="19"/>
      <c r="T5" s="21"/>
    </row>
    <row r="6" spans="1:20" s="3" customFormat="1" x14ac:dyDescent="0.4">
      <c r="B6" s="13" t="s">
        <v>59</v>
      </c>
      <c r="C6" s="47" t="s">
        <v>118</v>
      </c>
      <c r="D6" s="47"/>
      <c r="E6" s="13" t="s">
        <v>2</v>
      </c>
      <c r="F6" s="22" t="s">
        <v>127</v>
      </c>
      <c r="G6" s="11" t="s">
        <v>25</v>
      </c>
      <c r="H6" s="47" t="s">
        <v>118</v>
      </c>
      <c r="I6" s="47" t="s">
        <v>118</v>
      </c>
      <c r="J6" s="47"/>
      <c r="K6" s="47" t="s">
        <v>118</v>
      </c>
      <c r="L6" s="47" t="s">
        <v>118</v>
      </c>
      <c r="M6" s="47"/>
      <c r="N6" s="47"/>
      <c r="O6" s="47"/>
      <c r="P6" s="47"/>
      <c r="Q6" s="47"/>
      <c r="R6" s="7" t="s">
        <v>20</v>
      </c>
      <c r="S6" s="4" t="s">
        <v>26</v>
      </c>
      <c r="T6" s="7"/>
    </row>
    <row r="7" spans="1:20" s="3" customFormat="1" x14ac:dyDescent="0.4">
      <c r="B7" s="13" t="s">
        <v>60</v>
      </c>
      <c r="C7" s="48" t="s">
        <v>118</v>
      </c>
      <c r="D7" s="48"/>
      <c r="E7" s="13" t="s">
        <v>2</v>
      </c>
      <c r="F7" s="23" t="s">
        <v>128</v>
      </c>
      <c r="G7" s="12" t="s">
        <v>13</v>
      </c>
      <c r="H7" s="47" t="s">
        <v>118</v>
      </c>
      <c r="I7" s="47" t="s">
        <v>118</v>
      </c>
      <c r="J7" s="48"/>
      <c r="K7" s="48"/>
      <c r="L7" s="48"/>
      <c r="M7" s="48"/>
      <c r="N7" s="48"/>
      <c r="O7" s="48"/>
      <c r="P7" s="48"/>
      <c r="Q7" s="48"/>
      <c r="R7" s="7" t="s">
        <v>20</v>
      </c>
      <c r="S7" s="4" t="s">
        <v>30</v>
      </c>
      <c r="T7" s="4"/>
    </row>
    <row r="8" spans="1:20" x14ac:dyDescent="0.4">
      <c r="B8" s="13" t="s">
        <v>61</v>
      </c>
      <c r="C8" s="49" t="s">
        <v>118</v>
      </c>
      <c r="D8" s="49"/>
      <c r="E8" s="13" t="s">
        <v>2</v>
      </c>
      <c r="F8" s="30" t="s">
        <v>129</v>
      </c>
      <c r="G8" s="31" t="s">
        <v>70</v>
      </c>
      <c r="H8" s="48"/>
      <c r="I8" s="48"/>
      <c r="J8" s="47"/>
      <c r="K8" s="47" t="s">
        <v>118</v>
      </c>
      <c r="L8" s="48"/>
      <c r="M8" s="48"/>
      <c r="N8" s="48"/>
      <c r="O8" s="48"/>
      <c r="P8" s="48"/>
      <c r="Q8" s="48"/>
      <c r="R8" s="7" t="s">
        <v>72</v>
      </c>
      <c r="S8" s="4" t="s">
        <v>73</v>
      </c>
      <c r="T8" s="5" t="s">
        <v>74</v>
      </c>
    </row>
    <row r="9" spans="1:20" x14ac:dyDescent="0.25">
      <c r="B9" s="13" t="s">
        <v>62</v>
      </c>
      <c r="C9" s="49" t="s">
        <v>118</v>
      </c>
      <c r="D9" s="49"/>
      <c r="E9" s="13" t="s">
        <v>2</v>
      </c>
      <c r="F9" s="45" t="s">
        <v>130</v>
      </c>
      <c r="G9" s="31" t="s">
        <v>110</v>
      </c>
      <c r="H9" s="47" t="s">
        <v>118</v>
      </c>
      <c r="I9" s="47" t="s">
        <v>118</v>
      </c>
      <c r="J9" s="47"/>
      <c r="K9" s="47"/>
      <c r="L9" s="47" t="s">
        <v>118</v>
      </c>
      <c r="M9" s="47"/>
      <c r="N9" s="47"/>
      <c r="O9" s="47"/>
      <c r="P9" s="47"/>
      <c r="Q9" s="47"/>
      <c r="R9" s="7" t="s">
        <v>111</v>
      </c>
      <c r="S9" s="4" t="s">
        <v>112</v>
      </c>
      <c r="T9" s="5" t="s">
        <v>74</v>
      </c>
    </row>
    <row r="10" spans="1:20" x14ac:dyDescent="0.4">
      <c r="B10" s="13" t="s">
        <v>58</v>
      </c>
      <c r="C10" s="50" t="s">
        <v>118</v>
      </c>
      <c r="D10" s="50"/>
      <c r="E10" s="13" t="s">
        <v>9</v>
      </c>
      <c r="F10" s="24" t="s">
        <v>132</v>
      </c>
      <c r="G10" s="14" t="s">
        <v>137</v>
      </c>
      <c r="H10" s="47" t="s">
        <v>118</v>
      </c>
      <c r="I10" s="47" t="s">
        <v>118</v>
      </c>
      <c r="J10" s="48"/>
      <c r="K10" s="48"/>
      <c r="L10" s="48"/>
      <c r="M10" s="48"/>
      <c r="N10" s="48"/>
      <c r="O10" s="48"/>
      <c r="P10" s="48"/>
      <c r="Q10" s="48"/>
      <c r="R10" s="7" t="s">
        <v>20</v>
      </c>
      <c r="S10" s="5" t="s">
        <v>27</v>
      </c>
      <c r="T10" s="5"/>
    </row>
    <row r="11" spans="1:20" x14ac:dyDescent="0.4">
      <c r="B11" s="13" t="s">
        <v>63</v>
      </c>
      <c r="C11" s="50" t="s">
        <v>118</v>
      </c>
      <c r="D11" s="50"/>
      <c r="E11" s="13" t="s">
        <v>9</v>
      </c>
      <c r="F11" s="24" t="s">
        <v>133</v>
      </c>
      <c r="G11" s="14" t="s">
        <v>138</v>
      </c>
      <c r="H11" s="47" t="s">
        <v>118</v>
      </c>
      <c r="I11" s="47" t="s">
        <v>118</v>
      </c>
      <c r="J11" s="47"/>
      <c r="K11" s="47"/>
      <c r="L11" s="47"/>
      <c r="M11" s="47"/>
      <c r="N11" s="47"/>
      <c r="O11" s="47"/>
      <c r="P11" s="47"/>
      <c r="Q11" s="47"/>
      <c r="R11" s="7" t="s">
        <v>20</v>
      </c>
      <c r="S11" s="5" t="s">
        <v>28</v>
      </c>
      <c r="T11" s="5"/>
    </row>
    <row r="12" spans="1:20" x14ac:dyDescent="0.4">
      <c r="B12" s="13" t="s">
        <v>64</v>
      </c>
      <c r="C12" s="50" t="s">
        <v>118</v>
      </c>
      <c r="D12" s="50"/>
      <c r="E12" s="13" t="s">
        <v>9</v>
      </c>
      <c r="F12" s="24" t="s">
        <v>134</v>
      </c>
      <c r="G12" s="14" t="s">
        <v>33</v>
      </c>
      <c r="H12" s="48"/>
      <c r="I12" s="48"/>
      <c r="J12" s="47"/>
      <c r="K12" s="47" t="s">
        <v>118</v>
      </c>
      <c r="L12" s="48"/>
      <c r="M12" s="48"/>
      <c r="N12" s="48"/>
      <c r="O12" s="48"/>
      <c r="P12" s="48"/>
      <c r="Q12" s="48"/>
      <c r="R12" s="7" t="s">
        <v>20</v>
      </c>
      <c r="S12" s="4" t="s">
        <v>75</v>
      </c>
      <c r="T12" s="5"/>
    </row>
    <row r="13" spans="1:20" x14ac:dyDescent="0.25">
      <c r="B13" s="13" t="s">
        <v>99</v>
      </c>
      <c r="C13" s="50" t="s">
        <v>118</v>
      </c>
      <c r="D13" s="50"/>
      <c r="E13" s="13" t="s">
        <v>9</v>
      </c>
      <c r="F13" s="45" t="s">
        <v>135</v>
      </c>
      <c r="G13" s="14" t="s">
        <v>102</v>
      </c>
      <c r="H13" s="47"/>
      <c r="I13" s="47"/>
      <c r="J13" s="47"/>
      <c r="K13" s="47"/>
      <c r="L13" s="47" t="s">
        <v>118</v>
      </c>
      <c r="M13" s="47"/>
      <c r="N13" s="47"/>
      <c r="O13" s="47"/>
      <c r="P13" s="47"/>
      <c r="Q13" s="47"/>
      <c r="R13" s="7" t="s">
        <v>20</v>
      </c>
      <c r="S13" s="4" t="s">
        <v>114</v>
      </c>
      <c r="T13" s="5"/>
    </row>
    <row r="14" spans="1:20" x14ac:dyDescent="0.25">
      <c r="B14" s="13" t="s">
        <v>100</v>
      </c>
      <c r="C14" s="50" t="s">
        <v>118</v>
      </c>
      <c r="D14" s="50"/>
      <c r="E14" s="13" t="s">
        <v>9</v>
      </c>
      <c r="F14" s="45" t="s">
        <v>136</v>
      </c>
      <c r="G14" s="14" t="s">
        <v>101</v>
      </c>
      <c r="H14" s="48"/>
      <c r="I14" s="48"/>
      <c r="J14" s="48"/>
      <c r="K14" s="48"/>
      <c r="L14" s="47" t="s">
        <v>118</v>
      </c>
      <c r="M14" s="48"/>
      <c r="N14" s="48"/>
      <c r="O14" s="48"/>
      <c r="P14" s="48"/>
      <c r="Q14" s="48"/>
      <c r="R14" s="7" t="s">
        <v>20</v>
      </c>
      <c r="S14" s="4" t="s">
        <v>113</v>
      </c>
      <c r="T14" s="5"/>
    </row>
    <row r="15" spans="1:20" s="3" customFormat="1" x14ac:dyDescent="0.4">
      <c r="B15" s="32"/>
      <c r="C15" s="55"/>
      <c r="D15" s="55" t="s">
        <v>117</v>
      </c>
      <c r="E15" s="32" t="s">
        <v>2</v>
      </c>
      <c r="F15" s="38" t="s">
        <v>22</v>
      </c>
      <c r="G15" s="39" t="s">
        <v>25</v>
      </c>
      <c r="H15" s="55"/>
      <c r="I15" s="55"/>
      <c r="J15" s="55"/>
      <c r="K15" s="55"/>
      <c r="L15" s="55"/>
      <c r="M15" s="55" t="s">
        <v>118</v>
      </c>
      <c r="N15" s="55" t="s">
        <v>118</v>
      </c>
      <c r="O15" s="55"/>
      <c r="P15" s="55"/>
      <c r="Q15" s="55"/>
      <c r="R15" s="35" t="s">
        <v>20</v>
      </c>
      <c r="S15" s="36" t="s">
        <v>26</v>
      </c>
      <c r="T15" s="7"/>
    </row>
    <row r="16" spans="1:20" s="3" customFormat="1" x14ac:dyDescent="0.4">
      <c r="B16" s="32"/>
      <c r="C16" s="56"/>
      <c r="D16" s="56" t="s">
        <v>117</v>
      </c>
      <c r="E16" s="32" t="s">
        <v>2</v>
      </c>
      <c r="F16" s="33" t="s">
        <v>17</v>
      </c>
      <c r="G16" s="34" t="s">
        <v>13</v>
      </c>
      <c r="H16" s="56"/>
      <c r="I16" s="56"/>
      <c r="J16" s="56"/>
      <c r="K16" s="56"/>
      <c r="L16" s="56"/>
      <c r="M16" s="55" t="s">
        <v>118</v>
      </c>
      <c r="N16" s="55" t="s">
        <v>118</v>
      </c>
      <c r="O16" s="56"/>
      <c r="P16" s="56"/>
      <c r="Q16" s="56"/>
      <c r="R16" s="35" t="s">
        <v>20</v>
      </c>
      <c r="S16" s="36" t="s">
        <v>30</v>
      </c>
      <c r="T16" s="4"/>
    </row>
    <row r="17" spans="2:20" x14ac:dyDescent="0.4">
      <c r="B17" s="32"/>
      <c r="C17" s="55"/>
      <c r="D17" s="55" t="s">
        <v>117</v>
      </c>
      <c r="E17" s="32" t="s">
        <v>9</v>
      </c>
      <c r="F17" s="38" t="s">
        <v>29</v>
      </c>
      <c r="G17" s="39" t="s">
        <v>29</v>
      </c>
      <c r="H17" s="56"/>
      <c r="I17" s="56"/>
      <c r="J17" s="56"/>
      <c r="K17" s="56"/>
      <c r="L17" s="56"/>
      <c r="M17" s="55" t="s">
        <v>118</v>
      </c>
      <c r="N17" s="55" t="s">
        <v>118</v>
      </c>
      <c r="O17" s="56"/>
      <c r="P17" s="56"/>
      <c r="Q17" s="56"/>
      <c r="R17" s="35" t="s">
        <v>20</v>
      </c>
      <c r="S17" s="37" t="s">
        <v>27</v>
      </c>
      <c r="T17" s="5"/>
    </row>
    <row r="18" spans="2:20" x14ac:dyDescent="0.4">
      <c r="B18" s="32"/>
      <c r="C18" s="55"/>
      <c r="D18" s="55" t="s">
        <v>117</v>
      </c>
      <c r="E18" s="32" t="s">
        <v>9</v>
      </c>
      <c r="F18" s="38" t="s">
        <v>31</v>
      </c>
      <c r="G18" s="39" t="s">
        <v>31</v>
      </c>
      <c r="H18" s="55"/>
      <c r="I18" s="55"/>
      <c r="J18" s="55"/>
      <c r="K18" s="55"/>
      <c r="L18" s="55"/>
      <c r="M18" s="55" t="s">
        <v>118</v>
      </c>
      <c r="N18" s="55" t="s">
        <v>118</v>
      </c>
      <c r="O18" s="55"/>
      <c r="P18" s="55"/>
      <c r="Q18" s="55"/>
      <c r="R18" s="35" t="s">
        <v>20</v>
      </c>
      <c r="S18" s="37" t="s">
        <v>28</v>
      </c>
      <c r="T18" s="5"/>
    </row>
    <row r="19" spans="2:20" x14ac:dyDescent="0.4">
      <c r="B19" s="32"/>
      <c r="C19" s="55"/>
      <c r="D19" s="55" t="s">
        <v>117</v>
      </c>
      <c r="E19" s="32" t="s">
        <v>9</v>
      </c>
      <c r="F19" s="57" t="s">
        <v>124</v>
      </c>
      <c r="G19" s="57" t="s">
        <v>124</v>
      </c>
      <c r="H19" s="55"/>
      <c r="I19" s="55"/>
      <c r="J19" s="55"/>
      <c r="K19" s="55"/>
      <c r="L19" s="55"/>
      <c r="M19" s="55"/>
      <c r="N19" s="55"/>
      <c r="O19" s="55" t="s">
        <v>118</v>
      </c>
      <c r="P19" s="55"/>
      <c r="Q19" s="55"/>
      <c r="R19" s="59"/>
      <c r="S19" s="60"/>
      <c r="T19" s="58"/>
    </row>
    <row r="20" spans="2:20" x14ac:dyDescent="0.4">
      <c r="B20" s="40"/>
      <c r="C20" s="42"/>
      <c r="D20" s="42"/>
      <c r="E20" s="40"/>
      <c r="F20" s="41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3"/>
      <c r="S20" s="3"/>
      <c r="T20" s="44"/>
    </row>
  </sheetData>
  <phoneticPr fontId="1"/>
  <hyperlinks>
    <hyperlink ref="G6" location="ライン一覧マスタ!A1" display="ライン一覧マスタ" xr:uid="{50F601BF-E7FE-466E-B3F7-A9CDA4944838}"/>
    <hyperlink ref="G7" location="停止要因マスタ!A1" display="停止要因マスタ" xr:uid="{B540BF31-A02F-40C7-A387-7F317C64B9BB}"/>
    <hyperlink ref="G10" location="Stop_log!A1" display="Stop_log" xr:uid="{3C6F91A1-BF35-45E5-9936-28A8CB545128}"/>
    <hyperlink ref="G11" location="Plod_log!A1" display="Plod_log" xr:uid="{5C970C1D-AF29-4B81-8B94-E6D0B6FD4727}"/>
    <hyperlink ref="G12" location="数値検査_LOG!A1" display="数値検査_LOG" xr:uid="{8F4454B6-9909-489C-A1DD-C5E8DE623A0D}"/>
    <hyperlink ref="G13" location="数値検査_LOG!A1" display="数値検査_LOG" xr:uid="{31FDD615-0F0E-4C89-96C3-80752564090E}"/>
    <hyperlink ref="G14" location="数値検査_LOG!A1" display="数値検査_LOG" xr:uid="{37CC8734-8B8F-405D-9BE0-2C4AE97947EA}"/>
    <hyperlink ref="G15" location="ライン一覧マスタ!A1" display="ライン一覧マスタ" xr:uid="{0747C1A3-400C-4080-987C-D0AB1F500BF4}"/>
    <hyperlink ref="G16" location="停止要因マスタ!A1" display="停止要因マスタ" xr:uid="{29B9C396-A2E3-48D8-845B-495DE1299921}"/>
    <hyperlink ref="G17" location="Stop_log!A1" display="Stop_log" xr:uid="{1B419C98-6F08-4594-9E3B-0E3FD9D3152A}"/>
    <hyperlink ref="G18" location="Plod_log!A1" display="Plod_log" xr:uid="{3EECA32A-B81F-423F-B164-7FCB9917211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18624-D66E-4E0B-B945-7328B80EF3A4}">
  <dimension ref="A1:K12"/>
  <sheetViews>
    <sheetView showGridLines="0" zoomScaleNormal="100" workbookViewId="0">
      <pane ySplit="8" topLeftCell="A9" activePane="bottomLeft" state="frozen"/>
      <selection activeCell="C2" sqref="C2:C6"/>
      <selection pane="bottomLeft" activeCell="C8" sqref="C8:C12"/>
    </sheetView>
  </sheetViews>
  <sheetFormatPr defaultColWidth="9" defaultRowHeight="15.75" x14ac:dyDescent="0.4"/>
  <cols>
    <col min="1" max="1" width="3.75" style="1" bestFit="1" customWidth="1"/>
    <col min="2" max="2" width="20.625" style="1" customWidth="1"/>
    <col min="3" max="3" width="49.375" style="1" customWidth="1"/>
    <col min="4" max="4" width="13" style="2" bestFit="1" customWidth="1"/>
    <col min="5" max="5" width="23.25" style="2" customWidth="1"/>
    <col min="6" max="6" width="44.5" style="2" customWidth="1"/>
    <col min="7" max="7" width="6.875" style="2" customWidth="1"/>
    <col min="8" max="8" width="7.625" style="2" bestFit="1" customWidth="1"/>
    <col min="9" max="9" width="10.875" style="2" bestFit="1" customWidth="1"/>
    <col min="10" max="10" width="9" style="2" bestFit="1" customWidth="1"/>
    <col min="11" max="11" width="16.5" style="2" customWidth="1"/>
    <col min="12" max="16384" width="9" style="1"/>
  </cols>
  <sheetData>
    <row r="1" spans="1:11" s="8" customFormat="1" x14ac:dyDescent="0.4">
      <c r="A1" s="66" t="s">
        <v>8</v>
      </c>
      <c r="B1" s="66"/>
      <c r="K1" s="9"/>
    </row>
    <row r="2" spans="1:11" s="8" customFormat="1" x14ac:dyDescent="0.4">
      <c r="A2" s="64" t="s">
        <v>4</v>
      </c>
      <c r="B2" s="65"/>
      <c r="C2" s="10" t="s">
        <v>59</v>
      </c>
    </row>
    <row r="3" spans="1:11" s="8" customFormat="1" x14ac:dyDescent="0.4">
      <c r="A3" s="64" t="s">
        <v>11</v>
      </c>
      <c r="B3" s="65"/>
      <c r="C3" s="10" t="str">
        <f>_xlfn.XLOOKUP($C$2,DWHTB一覧!$B:$B,DWHTB一覧!$E:$E)</f>
        <v>マスタ</v>
      </c>
    </row>
    <row r="4" spans="1:11" s="8" customFormat="1" x14ac:dyDescent="0.4">
      <c r="A4" s="64" t="s">
        <v>18</v>
      </c>
      <c r="B4" s="65"/>
      <c r="C4" s="10" t="str">
        <f>_xlfn.XLOOKUP($C$2,DWHTB一覧!$B:$B,DWHTB一覧!$F:$F)</f>
        <v>mst_line</v>
      </c>
    </row>
    <row r="5" spans="1:11" s="8" customFormat="1" x14ac:dyDescent="0.4">
      <c r="A5" s="64" t="s">
        <v>19</v>
      </c>
      <c r="B5" s="65"/>
      <c r="C5" s="10" t="str">
        <f>_xlfn.XLOOKUP($C$2,DWHTB一覧!$B:$B,DWHTB一覧!$G:$G)</f>
        <v>ライン一覧マスタ</v>
      </c>
    </row>
    <row r="6" spans="1:11" s="8" customFormat="1" x14ac:dyDescent="0.4">
      <c r="A6" s="64" t="s">
        <v>6</v>
      </c>
      <c r="B6" s="65"/>
      <c r="C6" s="10" t="str">
        <f>_xlfn.XLOOKUP($C$2,DWHTB一覧!$B:$B,DWHTB一覧!$R:$R)</f>
        <v>NAS</v>
      </c>
    </row>
    <row r="7" spans="1:11" x14ac:dyDescent="0.4">
      <c r="C7" s="2"/>
      <c r="K7" s="1"/>
    </row>
    <row r="8" spans="1:11" x14ac:dyDescent="0.4">
      <c r="A8" s="25" t="s">
        <v>4</v>
      </c>
      <c r="B8" s="25" t="s">
        <v>88</v>
      </c>
      <c r="C8" s="25" t="s">
        <v>89</v>
      </c>
      <c r="D8" s="25" t="s">
        <v>77</v>
      </c>
      <c r="E8" s="25" t="s">
        <v>5</v>
      </c>
      <c r="F8" s="1"/>
      <c r="G8" s="1"/>
      <c r="H8" s="1"/>
      <c r="I8" s="1"/>
      <c r="J8" s="1"/>
      <c r="K8" s="1"/>
    </row>
    <row r="9" spans="1:11" s="3" customFormat="1" x14ac:dyDescent="0.4">
      <c r="A9" s="4">
        <f t="shared" ref="A9:A12" si="0">ROW()-8</f>
        <v>1</v>
      </c>
      <c r="B9" s="5" t="s">
        <v>92</v>
      </c>
      <c r="C9" s="6" t="s">
        <v>93</v>
      </c>
      <c r="D9" s="5" t="s">
        <v>81</v>
      </c>
      <c r="E9" s="5"/>
    </row>
    <row r="10" spans="1:11" s="3" customFormat="1" x14ac:dyDescent="0.4">
      <c r="A10" s="4">
        <f t="shared" si="0"/>
        <v>2</v>
      </c>
      <c r="B10" s="5" t="s">
        <v>23</v>
      </c>
      <c r="C10" s="5" t="s">
        <v>82</v>
      </c>
      <c r="D10" s="5" t="s">
        <v>81</v>
      </c>
      <c r="E10" s="5"/>
    </row>
    <row r="11" spans="1:11" s="3" customFormat="1" x14ac:dyDescent="0.4">
      <c r="A11" s="4">
        <f t="shared" si="0"/>
        <v>3</v>
      </c>
      <c r="B11" s="28" t="s">
        <v>24</v>
      </c>
      <c r="C11" s="27" t="s">
        <v>94</v>
      </c>
      <c r="D11" s="29" t="s">
        <v>81</v>
      </c>
      <c r="E11" s="27"/>
    </row>
    <row r="12" spans="1:11" s="3" customFormat="1" x14ac:dyDescent="0.4">
      <c r="A12" s="4">
        <f t="shared" si="0"/>
        <v>4</v>
      </c>
      <c r="B12" s="5" t="s">
        <v>95</v>
      </c>
      <c r="C12" s="6" t="s">
        <v>96</v>
      </c>
      <c r="D12" s="6" t="s">
        <v>81</v>
      </c>
      <c r="E12" s="6"/>
    </row>
  </sheetData>
  <mergeCells count="6">
    <mergeCell ref="A6:B6"/>
    <mergeCell ref="A1:B1"/>
    <mergeCell ref="A2:B2"/>
    <mergeCell ref="A3:B3"/>
    <mergeCell ref="A4:B4"/>
    <mergeCell ref="A5:B5"/>
  </mergeCells>
  <phoneticPr fontId="1"/>
  <hyperlinks>
    <hyperlink ref="A1" location="テーブル一覧!A1" display="一覧へ" xr:uid="{98C87643-BEE7-4256-B13E-53E69D514F03}"/>
    <hyperlink ref="A1:B1" location="テーブル一覧!A1" display="テーブル一覧" xr:uid="{750E2E27-2E38-4DDB-99F1-E5731D7C10D4}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9BBB2-4BEB-458D-B538-061D051CEF59}">
  <dimension ref="A1:K10"/>
  <sheetViews>
    <sheetView showGridLines="0" zoomScaleNormal="100" workbookViewId="0">
      <pane ySplit="8" topLeftCell="A9" activePane="bottomLeft" state="frozen"/>
      <selection activeCell="C2" sqref="C2:C6"/>
      <selection pane="bottomLeft" activeCell="A2" sqref="A2:B2"/>
    </sheetView>
  </sheetViews>
  <sheetFormatPr defaultColWidth="9" defaultRowHeight="15.75" x14ac:dyDescent="0.4"/>
  <cols>
    <col min="1" max="1" width="3.75" style="1" bestFit="1" customWidth="1"/>
    <col min="2" max="2" width="20.625" style="1" customWidth="1"/>
    <col min="3" max="3" width="49.375" style="1" customWidth="1"/>
    <col min="4" max="4" width="13" style="2" bestFit="1" customWidth="1"/>
    <col min="5" max="5" width="23.25" style="2" customWidth="1"/>
    <col min="6" max="6" width="44.5" style="2" customWidth="1"/>
    <col min="7" max="7" width="6.875" style="2" customWidth="1"/>
    <col min="8" max="8" width="7.625" style="2" bestFit="1" customWidth="1"/>
    <col min="9" max="9" width="10.875" style="2" bestFit="1" customWidth="1"/>
    <col min="10" max="10" width="9" style="2" bestFit="1" customWidth="1"/>
    <col min="11" max="11" width="16.5" style="2" customWidth="1"/>
    <col min="12" max="16384" width="9" style="1"/>
  </cols>
  <sheetData>
    <row r="1" spans="1:11" s="8" customFormat="1" x14ac:dyDescent="0.4">
      <c r="A1" s="66" t="s">
        <v>8</v>
      </c>
      <c r="B1" s="66"/>
      <c r="K1" s="9"/>
    </row>
    <row r="2" spans="1:11" s="8" customFormat="1" x14ac:dyDescent="0.4">
      <c r="A2" s="64" t="s">
        <v>4</v>
      </c>
      <c r="B2" s="65"/>
      <c r="C2" s="10" t="s">
        <v>65</v>
      </c>
    </row>
    <row r="3" spans="1:11" s="8" customFormat="1" x14ac:dyDescent="0.4">
      <c r="A3" s="64" t="s">
        <v>11</v>
      </c>
      <c r="B3" s="65"/>
      <c r="C3" s="10" t="str">
        <f>_xlfn.XLOOKUP($C$2,DWHTB一覧!$B:$B,DWHTB一覧!$E:$E)</f>
        <v>マスタ</v>
      </c>
    </row>
    <row r="4" spans="1:11" s="8" customFormat="1" x14ac:dyDescent="0.4">
      <c r="A4" s="64" t="s">
        <v>18</v>
      </c>
      <c r="B4" s="65"/>
      <c r="C4" s="10" t="str">
        <f>_xlfn.XLOOKUP($C$2,DWHTB一覧!$B:$B,DWHTB一覧!$F:$F)</f>
        <v>mst_stop_reason</v>
      </c>
    </row>
    <row r="5" spans="1:11" s="8" customFormat="1" x14ac:dyDescent="0.4">
      <c r="A5" s="64" t="s">
        <v>19</v>
      </c>
      <c r="B5" s="65"/>
      <c r="C5" s="10" t="str">
        <f>_xlfn.XLOOKUP($C$2,DWHTB一覧!$B:$B,DWHTB一覧!$G:$G)</f>
        <v>停止要因マスタ</v>
      </c>
    </row>
    <row r="6" spans="1:11" s="8" customFormat="1" x14ac:dyDescent="0.4">
      <c r="A6" s="64" t="s">
        <v>6</v>
      </c>
      <c r="B6" s="65"/>
      <c r="C6" s="10" t="str">
        <f>_xlfn.XLOOKUP($C$2,DWHTB一覧!$B:$B,DWHTB一覧!$R:$R)</f>
        <v>NAS</v>
      </c>
    </row>
    <row r="7" spans="1:11" x14ac:dyDescent="0.4">
      <c r="C7" s="2"/>
      <c r="K7" s="1"/>
    </row>
    <row r="8" spans="1:11" x14ac:dyDescent="0.4">
      <c r="A8" s="25" t="s">
        <v>4</v>
      </c>
      <c r="B8" s="25" t="s">
        <v>88</v>
      </c>
      <c r="C8" s="25" t="s">
        <v>89</v>
      </c>
      <c r="D8" s="25" t="s">
        <v>77</v>
      </c>
      <c r="E8" s="25" t="s">
        <v>5</v>
      </c>
      <c r="F8" s="1"/>
      <c r="G8" s="1"/>
      <c r="H8" s="1"/>
      <c r="I8" s="1"/>
      <c r="J8" s="1"/>
      <c r="K8" s="1"/>
    </row>
    <row r="9" spans="1:11" s="3" customFormat="1" x14ac:dyDescent="0.4">
      <c r="A9" s="4">
        <f t="shared" ref="A9:A10" si="0">ROW()-8</f>
        <v>1</v>
      </c>
      <c r="B9" s="5" t="s">
        <v>90</v>
      </c>
      <c r="C9" s="6" t="s">
        <v>91</v>
      </c>
      <c r="D9" s="5" t="s">
        <v>81</v>
      </c>
      <c r="E9" s="5"/>
    </row>
    <row r="10" spans="1:11" s="3" customFormat="1" x14ac:dyDescent="0.4">
      <c r="A10" s="4">
        <f t="shared" si="0"/>
        <v>2</v>
      </c>
      <c r="B10" s="5" t="s">
        <v>97</v>
      </c>
      <c r="C10" s="5" t="s">
        <v>98</v>
      </c>
      <c r="D10" s="5" t="s">
        <v>81</v>
      </c>
      <c r="E10" s="5"/>
    </row>
  </sheetData>
  <mergeCells count="6">
    <mergeCell ref="A6:B6"/>
    <mergeCell ref="A1:B1"/>
    <mergeCell ref="A2:B2"/>
    <mergeCell ref="A3:B3"/>
    <mergeCell ref="A4:B4"/>
    <mergeCell ref="A5:B5"/>
  </mergeCells>
  <phoneticPr fontId="1"/>
  <hyperlinks>
    <hyperlink ref="A1" location="テーブル一覧!A1" display="一覧へ" xr:uid="{A0EB2584-A654-482B-9F7D-EE3B6402F7AE}"/>
    <hyperlink ref="A1:B1" location="テーブル一覧!A1" display="テーブル一覧" xr:uid="{0AC1F333-4441-46E2-9926-B1E98C11D992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8CC5C-3DD5-4240-B585-BE847C89CCC6}">
  <dimension ref="A1:K13"/>
  <sheetViews>
    <sheetView showGridLines="0" zoomScaleNormal="100" workbookViewId="0">
      <pane ySplit="8" topLeftCell="A9" activePane="bottomLeft" state="frozen"/>
      <selection activeCell="C2" sqref="C2:C6"/>
      <selection pane="bottomLeft" activeCell="A2" sqref="A2:B2"/>
    </sheetView>
  </sheetViews>
  <sheetFormatPr defaultColWidth="9" defaultRowHeight="15.75" x14ac:dyDescent="0.4"/>
  <cols>
    <col min="1" max="1" width="3.75" style="1" bestFit="1" customWidth="1"/>
    <col min="2" max="2" width="20.625" style="1" customWidth="1"/>
    <col min="3" max="3" width="49.375" style="1" customWidth="1"/>
    <col min="4" max="4" width="13" style="2" bestFit="1" customWidth="1"/>
    <col min="5" max="5" width="23.25" style="2" customWidth="1"/>
    <col min="6" max="6" width="44.5" style="2" customWidth="1"/>
    <col min="7" max="7" width="6.875" style="2" customWidth="1"/>
    <col min="8" max="8" width="7.625" style="2" bestFit="1" customWidth="1"/>
    <col min="9" max="9" width="10.875" style="2" bestFit="1" customWidth="1"/>
    <col min="10" max="10" width="9" style="2" bestFit="1" customWidth="1"/>
    <col min="11" max="11" width="16.5" style="2" customWidth="1"/>
    <col min="12" max="16384" width="9" style="1"/>
  </cols>
  <sheetData>
    <row r="1" spans="1:11" s="8" customFormat="1" x14ac:dyDescent="0.4">
      <c r="A1" s="66" t="s">
        <v>8</v>
      </c>
      <c r="B1" s="66"/>
      <c r="K1" s="9"/>
    </row>
    <row r="2" spans="1:11" s="8" customFormat="1" x14ac:dyDescent="0.4">
      <c r="A2" s="64" t="s">
        <v>4</v>
      </c>
      <c r="B2" s="65"/>
      <c r="C2" s="10" t="s">
        <v>66</v>
      </c>
    </row>
    <row r="3" spans="1:11" s="8" customFormat="1" x14ac:dyDescent="0.4">
      <c r="A3" s="64" t="s">
        <v>11</v>
      </c>
      <c r="B3" s="65"/>
      <c r="C3" s="10" t="str">
        <f>_xlfn.XLOOKUP($C$2,DWHTB一覧!$B:$B,DWHTB一覧!$E:$E)</f>
        <v>マスタ</v>
      </c>
    </row>
    <row r="4" spans="1:11" s="8" customFormat="1" x14ac:dyDescent="0.4">
      <c r="A4" s="64" t="s">
        <v>18</v>
      </c>
      <c r="B4" s="65"/>
      <c r="C4" s="10" t="str">
        <f>_xlfn.XLOOKUP($C$2,DWHTB一覧!$B:$B,DWHTB一覧!$F:$F)</f>
        <v>mst_cav</v>
      </c>
    </row>
    <row r="5" spans="1:11" s="8" customFormat="1" x14ac:dyDescent="0.4">
      <c r="A5" s="64" t="s">
        <v>19</v>
      </c>
      <c r="B5" s="65"/>
      <c r="C5" s="10" t="str">
        <f>_xlfn.XLOOKUP($C$2,DWHTB一覧!$B:$B,DWHTB一覧!$G:$G)</f>
        <v>cavマスタ</v>
      </c>
    </row>
    <row r="6" spans="1:11" s="8" customFormat="1" x14ac:dyDescent="0.4">
      <c r="A6" s="64" t="s">
        <v>6</v>
      </c>
      <c r="B6" s="65"/>
      <c r="C6" s="10" t="str">
        <f>_xlfn.XLOOKUP($C$2,DWHTB一覧!$B:$B,DWHTB一覧!$R:$R)</f>
        <v>cav情報マスタ.xlsx</v>
      </c>
    </row>
    <row r="7" spans="1:11" x14ac:dyDescent="0.4">
      <c r="C7" s="2"/>
      <c r="K7" s="1"/>
    </row>
    <row r="8" spans="1:11" x14ac:dyDescent="0.4">
      <c r="A8" s="25" t="s">
        <v>4</v>
      </c>
      <c r="B8" s="25" t="s">
        <v>88</v>
      </c>
      <c r="C8" s="25" t="s">
        <v>89</v>
      </c>
      <c r="D8" s="25" t="s">
        <v>77</v>
      </c>
      <c r="E8" s="25" t="s">
        <v>5</v>
      </c>
      <c r="F8" s="1"/>
      <c r="G8" s="1"/>
      <c r="H8" s="1"/>
      <c r="I8" s="1"/>
      <c r="J8" s="1"/>
      <c r="K8" s="1"/>
    </row>
    <row r="9" spans="1:11" s="3" customFormat="1" x14ac:dyDescent="0.4">
      <c r="A9" s="4">
        <f t="shared" ref="A9:A13" si="0">ROW()-8</f>
        <v>1</v>
      </c>
      <c r="B9" s="5" t="s">
        <v>35</v>
      </c>
      <c r="C9" s="6" t="s">
        <v>139</v>
      </c>
      <c r="D9" s="5" t="s">
        <v>81</v>
      </c>
      <c r="E9" s="5"/>
    </row>
    <row r="10" spans="1:11" s="3" customFormat="1" x14ac:dyDescent="0.4">
      <c r="A10" s="4">
        <f t="shared" si="0"/>
        <v>2</v>
      </c>
      <c r="B10" s="5" t="s">
        <v>36</v>
      </c>
      <c r="C10" s="5" t="s">
        <v>140</v>
      </c>
      <c r="D10" s="5" t="s">
        <v>81</v>
      </c>
      <c r="E10" s="5"/>
    </row>
    <row r="11" spans="1:11" s="3" customFormat="1" x14ac:dyDescent="0.4">
      <c r="A11" s="4">
        <f t="shared" si="0"/>
        <v>3</v>
      </c>
      <c r="B11" s="5" t="s">
        <v>43</v>
      </c>
      <c r="C11" s="5" t="s">
        <v>141</v>
      </c>
      <c r="D11" s="5" t="s">
        <v>81</v>
      </c>
      <c r="E11" s="5"/>
    </row>
    <row r="12" spans="1:11" s="3" customFormat="1" x14ac:dyDescent="0.4">
      <c r="A12" s="4">
        <f t="shared" si="0"/>
        <v>4</v>
      </c>
      <c r="B12" s="5" t="s">
        <v>44</v>
      </c>
      <c r="C12" s="5" t="s">
        <v>142</v>
      </c>
      <c r="D12" s="5" t="s">
        <v>81</v>
      </c>
      <c r="E12" s="5"/>
    </row>
    <row r="13" spans="1:11" s="3" customFormat="1" x14ac:dyDescent="0.4">
      <c r="A13" s="4">
        <f t="shared" si="0"/>
        <v>5</v>
      </c>
      <c r="B13" s="5" t="s">
        <v>71</v>
      </c>
      <c r="C13" s="5" t="s">
        <v>143</v>
      </c>
      <c r="D13" s="5" t="s">
        <v>81</v>
      </c>
      <c r="E13" s="5"/>
    </row>
  </sheetData>
  <mergeCells count="6">
    <mergeCell ref="A6:B6"/>
    <mergeCell ref="A1:B1"/>
    <mergeCell ref="A2:B2"/>
    <mergeCell ref="A3:B3"/>
    <mergeCell ref="A4:B4"/>
    <mergeCell ref="A5:B5"/>
  </mergeCells>
  <phoneticPr fontId="1"/>
  <hyperlinks>
    <hyperlink ref="A1" location="テーブル一覧!A1" display="一覧へ" xr:uid="{312BF11B-7C1E-4D74-9E75-A10AA922477F}"/>
    <hyperlink ref="A1:B1" location="テーブル一覧!A1" display="テーブル一覧" xr:uid="{A8353AE2-5105-4D28-B7EE-544E143C75F9}"/>
  </hyperlink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78F3B-518D-4E67-94CE-B47BB02DF1B4}">
  <dimension ref="A1:K10"/>
  <sheetViews>
    <sheetView showGridLines="0" zoomScaleNormal="100" workbookViewId="0">
      <pane ySplit="8" topLeftCell="A9" activePane="bottomLeft" state="frozen"/>
      <selection activeCell="C2" sqref="C2:C6"/>
      <selection pane="bottomLeft" activeCell="A2" sqref="A2:B2"/>
    </sheetView>
  </sheetViews>
  <sheetFormatPr defaultColWidth="9" defaultRowHeight="15.75" x14ac:dyDescent="0.4"/>
  <cols>
    <col min="1" max="1" width="3.75" style="1" bestFit="1" customWidth="1"/>
    <col min="2" max="2" width="20.625" style="1" customWidth="1"/>
    <col min="3" max="3" width="49.375" style="1" customWidth="1"/>
    <col min="4" max="4" width="13" style="2" bestFit="1" customWidth="1"/>
    <col min="5" max="5" width="23.25" style="2" customWidth="1"/>
    <col min="6" max="6" width="44.5" style="2" customWidth="1"/>
    <col min="7" max="7" width="6.875" style="2" customWidth="1"/>
    <col min="8" max="8" width="7.625" style="2" bestFit="1" customWidth="1"/>
    <col min="9" max="9" width="10.875" style="2" bestFit="1" customWidth="1"/>
    <col min="10" max="10" width="9" style="2" bestFit="1" customWidth="1"/>
    <col min="11" max="11" width="16.5" style="2" customWidth="1"/>
    <col min="12" max="16384" width="9" style="1"/>
  </cols>
  <sheetData>
    <row r="1" spans="1:11" s="8" customFormat="1" x14ac:dyDescent="0.4">
      <c r="A1" s="66" t="s">
        <v>8</v>
      </c>
      <c r="B1" s="66"/>
      <c r="K1" s="9"/>
    </row>
    <row r="2" spans="1:11" s="8" customFormat="1" x14ac:dyDescent="0.4">
      <c r="A2" s="64" t="s">
        <v>4</v>
      </c>
      <c r="B2" s="65"/>
      <c r="C2" s="10" t="s">
        <v>67</v>
      </c>
    </row>
    <row r="3" spans="1:11" s="8" customFormat="1" x14ac:dyDescent="0.4">
      <c r="A3" s="64" t="s">
        <v>11</v>
      </c>
      <c r="B3" s="65"/>
      <c r="C3" s="10" t="str">
        <f>_xlfn.XLOOKUP($C$2,DWHTB一覧!$B:$B,DWHTB一覧!$E:$E)</f>
        <v>マスタ</v>
      </c>
    </row>
    <row r="4" spans="1:11" s="8" customFormat="1" x14ac:dyDescent="0.4">
      <c r="A4" s="64" t="s">
        <v>18</v>
      </c>
      <c r="B4" s="65"/>
      <c r="C4" s="10" t="str">
        <f>_xlfn.XLOOKUP($C$2,DWHTB一覧!$B:$B,DWHTB一覧!$F:$F)</f>
        <v>mst_supplier</v>
      </c>
    </row>
    <row r="5" spans="1:11" s="8" customFormat="1" x14ac:dyDescent="0.4">
      <c r="A5" s="64" t="s">
        <v>19</v>
      </c>
      <c r="B5" s="65"/>
      <c r="C5" s="10" t="str">
        <f>_xlfn.XLOOKUP($C$2,DWHTB一覧!$B:$B,DWHTB一覧!$G:$G)</f>
        <v>SUPPLIERマスタ</v>
      </c>
    </row>
    <row r="6" spans="1:11" s="8" customFormat="1" x14ac:dyDescent="0.4">
      <c r="A6" s="64" t="s">
        <v>6</v>
      </c>
      <c r="B6" s="65"/>
      <c r="C6" s="10" t="str">
        <f>_xlfn.XLOOKUP($C$2,DWHTB一覧!$B:$B,DWHTB一覧!$R:$R)</f>
        <v>SUPPLIER_MASTER.csv</v>
      </c>
    </row>
    <row r="7" spans="1:11" x14ac:dyDescent="0.4">
      <c r="C7" s="2"/>
      <c r="K7" s="1"/>
    </row>
    <row r="8" spans="1:11" x14ac:dyDescent="0.4">
      <c r="A8" s="25" t="s">
        <v>4</v>
      </c>
      <c r="B8" s="25" t="s">
        <v>88</v>
      </c>
      <c r="C8" s="25" t="s">
        <v>89</v>
      </c>
      <c r="D8" s="25" t="s">
        <v>77</v>
      </c>
      <c r="E8" s="25" t="s">
        <v>5</v>
      </c>
      <c r="F8" s="1"/>
      <c r="G8" s="1"/>
      <c r="H8" s="1"/>
      <c r="I8" s="1"/>
      <c r="J8" s="1"/>
      <c r="K8" s="1"/>
    </row>
    <row r="9" spans="1:11" s="3" customFormat="1" x14ac:dyDescent="0.4">
      <c r="A9" s="4">
        <f t="shared" ref="A9:A10" si="0">ROW()-8</f>
        <v>1</v>
      </c>
      <c r="B9" s="5" t="s">
        <v>37</v>
      </c>
      <c r="C9" s="6" t="s">
        <v>144</v>
      </c>
      <c r="D9" s="5" t="s">
        <v>81</v>
      </c>
      <c r="E9" s="5"/>
    </row>
    <row r="10" spans="1:11" s="3" customFormat="1" x14ac:dyDescent="0.4">
      <c r="A10" s="4">
        <f t="shared" si="0"/>
        <v>2</v>
      </c>
      <c r="B10" s="5" t="s">
        <v>32</v>
      </c>
      <c r="C10" s="5" t="s">
        <v>145</v>
      </c>
      <c r="D10" s="5" t="s">
        <v>81</v>
      </c>
      <c r="E10" s="5"/>
    </row>
  </sheetData>
  <mergeCells count="6">
    <mergeCell ref="A6:B6"/>
    <mergeCell ref="A1:B1"/>
    <mergeCell ref="A2:B2"/>
    <mergeCell ref="A3:B3"/>
    <mergeCell ref="A4:B4"/>
    <mergeCell ref="A5:B5"/>
  </mergeCells>
  <phoneticPr fontId="1"/>
  <hyperlinks>
    <hyperlink ref="A1" location="テーブル一覧!A1" display="一覧へ" xr:uid="{3C49989D-05EF-4630-AA78-446E6DD37F2A}"/>
    <hyperlink ref="A1:B1" location="テーブル一覧!A1" display="テーブル一覧" xr:uid="{8792BC4F-9731-418B-95DD-6DC7F3BD001E}"/>
  </hyperlink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03C32-6E35-4D01-9228-5642B7F69CD7}">
  <dimension ref="A1:K18"/>
  <sheetViews>
    <sheetView showGridLines="0" zoomScaleNormal="100" workbookViewId="0">
      <pane ySplit="8" topLeftCell="A9" activePane="bottomLeft" state="frozen"/>
      <selection activeCell="C2" sqref="C2:C6"/>
      <selection pane="bottomLeft" activeCell="B9" sqref="B9:D14"/>
    </sheetView>
  </sheetViews>
  <sheetFormatPr defaultColWidth="9" defaultRowHeight="15.75" x14ac:dyDescent="0.4"/>
  <cols>
    <col min="1" max="1" width="3.75" style="1" bestFit="1" customWidth="1"/>
    <col min="2" max="2" width="20.625" style="1" customWidth="1"/>
    <col min="3" max="3" width="49.375" style="1" customWidth="1"/>
    <col min="4" max="4" width="13" style="2" bestFit="1" customWidth="1"/>
    <col min="5" max="5" width="23.25" style="2" customWidth="1"/>
    <col min="6" max="6" width="44.5" style="2" customWidth="1"/>
    <col min="7" max="7" width="6.875" style="2" customWidth="1"/>
    <col min="8" max="8" width="7.625" style="2" bestFit="1" customWidth="1"/>
    <col min="9" max="9" width="10.875" style="2" bestFit="1" customWidth="1"/>
    <col min="10" max="10" width="9" style="2" bestFit="1" customWidth="1"/>
    <col min="11" max="11" width="16.5" style="2" customWidth="1"/>
    <col min="12" max="16384" width="9" style="1"/>
  </cols>
  <sheetData>
    <row r="1" spans="1:11" s="8" customFormat="1" x14ac:dyDescent="0.4">
      <c r="A1" s="66" t="s">
        <v>8</v>
      </c>
      <c r="B1" s="66"/>
      <c r="K1" s="9"/>
    </row>
    <row r="2" spans="1:11" s="8" customFormat="1" x14ac:dyDescent="0.4">
      <c r="A2" s="64" t="s">
        <v>4</v>
      </c>
      <c r="B2" s="65"/>
      <c r="C2" s="10" t="s">
        <v>58</v>
      </c>
    </row>
    <row r="3" spans="1:11" s="8" customFormat="1" x14ac:dyDescent="0.4">
      <c r="A3" s="64" t="s">
        <v>11</v>
      </c>
      <c r="B3" s="65"/>
      <c r="C3" s="10" t="str">
        <f>_xlfn.XLOOKUP($C$2,DWHTB一覧!$B:$B,DWHTB一覧!$E:$E)</f>
        <v>トランザクション</v>
      </c>
    </row>
    <row r="4" spans="1:11" s="8" customFormat="1" x14ac:dyDescent="0.4">
      <c r="A4" s="64" t="s">
        <v>18</v>
      </c>
      <c r="B4" s="65"/>
      <c r="C4" s="10" t="str">
        <f>_xlfn.XLOOKUP($C$2,DWHTB一覧!$B:$B,DWHTB一覧!$F:$F)</f>
        <v>stop_log</v>
      </c>
    </row>
    <row r="5" spans="1:11" s="8" customFormat="1" x14ac:dyDescent="0.4">
      <c r="A5" s="64" t="s">
        <v>19</v>
      </c>
      <c r="B5" s="65"/>
      <c r="C5" s="10" t="str">
        <f>_xlfn.XLOOKUP($C$2,DWHTB一覧!$B:$B,DWHTB一覧!$G:$G)</f>
        <v>STOP_LOG</v>
      </c>
    </row>
    <row r="6" spans="1:11" s="8" customFormat="1" x14ac:dyDescent="0.4">
      <c r="A6" s="64" t="s">
        <v>6</v>
      </c>
      <c r="B6" s="65"/>
      <c r="C6" s="10" t="str">
        <f>_xlfn.XLOOKUP($C$2,DWHTB一覧!$B:$B,DWHTB一覧!$R:$R)</f>
        <v>NAS</v>
      </c>
    </row>
    <row r="7" spans="1:11" x14ac:dyDescent="0.4">
      <c r="C7" s="2"/>
      <c r="K7" s="1"/>
    </row>
    <row r="8" spans="1:11" x14ac:dyDescent="0.4">
      <c r="A8" s="25" t="s">
        <v>4</v>
      </c>
      <c r="B8" s="25" t="s">
        <v>88</v>
      </c>
      <c r="C8" s="25" t="s">
        <v>89</v>
      </c>
      <c r="D8" s="25" t="s">
        <v>77</v>
      </c>
      <c r="E8" s="25" t="s">
        <v>5</v>
      </c>
      <c r="F8" s="1"/>
      <c r="G8" s="1"/>
      <c r="H8" s="1"/>
      <c r="I8" s="1"/>
      <c r="J8" s="1"/>
      <c r="K8" s="1"/>
    </row>
    <row r="9" spans="1:11" s="3" customFormat="1" x14ac:dyDescent="0.4">
      <c r="A9" s="4">
        <f t="shared" ref="A9:A14" si="0">ROW()-8</f>
        <v>1</v>
      </c>
      <c r="B9" s="5" t="s">
        <v>12</v>
      </c>
      <c r="C9" s="6" t="s">
        <v>78</v>
      </c>
      <c r="D9" s="5" t="s">
        <v>79</v>
      </c>
      <c r="E9" s="5"/>
    </row>
    <row r="10" spans="1:11" s="3" customFormat="1" x14ac:dyDescent="0.4">
      <c r="A10" s="4">
        <f t="shared" si="0"/>
        <v>2</v>
      </c>
      <c r="B10" s="5" t="s">
        <v>21</v>
      </c>
      <c r="C10" s="5" t="s">
        <v>80</v>
      </c>
      <c r="D10" s="5" t="s">
        <v>81</v>
      </c>
      <c r="E10" s="5"/>
    </row>
    <row r="11" spans="1:11" s="3" customFormat="1" x14ac:dyDescent="0.4">
      <c r="A11" s="4">
        <f t="shared" si="0"/>
        <v>3</v>
      </c>
      <c r="B11" s="28" t="s">
        <v>37</v>
      </c>
      <c r="C11" s="27" t="s">
        <v>144</v>
      </c>
      <c r="D11" s="5" t="s">
        <v>81</v>
      </c>
      <c r="E11" s="27"/>
    </row>
    <row r="12" spans="1:11" s="3" customFormat="1" x14ac:dyDescent="0.4">
      <c r="A12" s="4">
        <f t="shared" si="0"/>
        <v>4</v>
      </c>
      <c r="B12" s="28" t="s">
        <v>23</v>
      </c>
      <c r="C12" s="27" t="s">
        <v>82</v>
      </c>
      <c r="D12" s="29" t="s">
        <v>81</v>
      </c>
      <c r="E12" s="27"/>
      <c r="F12" s="61"/>
    </row>
    <row r="13" spans="1:11" s="3" customFormat="1" x14ac:dyDescent="0.4">
      <c r="A13" s="4">
        <f t="shared" si="0"/>
        <v>5</v>
      </c>
      <c r="B13" s="5" t="s">
        <v>190</v>
      </c>
      <c r="C13" s="6" t="s">
        <v>146</v>
      </c>
      <c r="D13" s="6" t="s">
        <v>81</v>
      </c>
      <c r="E13" s="6"/>
      <c r="F13" s="61"/>
    </row>
    <row r="14" spans="1:11" x14ac:dyDescent="0.4">
      <c r="A14" s="4">
        <f t="shared" si="0"/>
        <v>6</v>
      </c>
      <c r="B14" s="5" t="s">
        <v>191</v>
      </c>
      <c r="C14" s="6" t="s">
        <v>91</v>
      </c>
      <c r="D14" s="6" t="s">
        <v>81</v>
      </c>
      <c r="E14" s="6"/>
      <c r="F14" s="3"/>
    </row>
    <row r="15" spans="1:11" x14ac:dyDescent="0.4">
      <c r="F15" s="3"/>
    </row>
    <row r="16" spans="1:11" x14ac:dyDescent="0.4">
      <c r="F16" s="3"/>
    </row>
    <row r="17" spans="6:6" x14ac:dyDescent="0.4">
      <c r="F17" s="3"/>
    </row>
    <row r="18" spans="6:6" x14ac:dyDescent="0.4">
      <c r="F18" s="3"/>
    </row>
  </sheetData>
  <mergeCells count="6">
    <mergeCell ref="A6:B6"/>
    <mergeCell ref="A1:B1"/>
    <mergeCell ref="A2:B2"/>
    <mergeCell ref="A3:B3"/>
    <mergeCell ref="A4:B4"/>
    <mergeCell ref="A5:B5"/>
  </mergeCells>
  <phoneticPr fontId="1"/>
  <hyperlinks>
    <hyperlink ref="A1" location="テーブル一覧!A1" display="一覧へ" xr:uid="{8F2C0B7E-3195-45D7-9582-3114F625EF7A}"/>
    <hyperlink ref="A1:B1" location="テーブル一覧!A1" display="テーブル一覧" xr:uid="{9EBA5C06-E836-41AA-ADFC-36F699260DC4}"/>
  </hyperlink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F1972-18C7-44FE-B44E-0FF23AF398EE}">
  <dimension ref="A1:K23"/>
  <sheetViews>
    <sheetView showGridLines="0" zoomScaleNormal="100" workbookViewId="0">
      <pane ySplit="8" topLeftCell="A9" activePane="bottomLeft" state="frozen"/>
      <selection activeCell="C3" sqref="C3:C6"/>
      <selection pane="bottomLeft" activeCell="B25" sqref="B25"/>
    </sheetView>
  </sheetViews>
  <sheetFormatPr defaultColWidth="9" defaultRowHeight="15.75" x14ac:dyDescent="0.4"/>
  <cols>
    <col min="1" max="1" width="3.75" style="1" bestFit="1" customWidth="1"/>
    <col min="2" max="2" width="20.625" style="1" customWidth="1"/>
    <col min="3" max="3" width="49.375" style="1" customWidth="1"/>
    <col min="4" max="4" width="13" style="2" bestFit="1" customWidth="1"/>
    <col min="5" max="5" width="23.25" style="2" customWidth="1"/>
    <col min="6" max="6" width="44.5" style="2" customWidth="1"/>
    <col min="7" max="7" width="6.875" style="2" customWidth="1"/>
    <col min="8" max="8" width="7.625" style="2" bestFit="1" customWidth="1"/>
    <col min="9" max="9" width="10.875" style="2" bestFit="1" customWidth="1"/>
    <col min="10" max="10" width="9" style="2" bestFit="1" customWidth="1"/>
    <col min="11" max="11" width="16.5" style="2" customWidth="1"/>
    <col min="12" max="16384" width="9" style="1"/>
  </cols>
  <sheetData>
    <row r="1" spans="1:11" s="8" customFormat="1" x14ac:dyDescent="0.4">
      <c r="A1" s="66" t="s">
        <v>8</v>
      </c>
      <c r="B1" s="66"/>
      <c r="K1" s="9"/>
    </row>
    <row r="2" spans="1:11" s="8" customFormat="1" x14ac:dyDescent="0.4">
      <c r="A2" s="64" t="s">
        <v>4</v>
      </c>
      <c r="B2" s="65"/>
      <c r="C2" s="10" t="s">
        <v>68</v>
      </c>
    </row>
    <row r="3" spans="1:11" s="8" customFormat="1" x14ac:dyDescent="0.4">
      <c r="A3" s="64" t="s">
        <v>11</v>
      </c>
      <c r="B3" s="65"/>
      <c r="C3" s="10" t="str">
        <f>_xlfn.XLOOKUP($C$2,DWHTB一覧!$B:$B,DWHTB一覧!$E:$E)</f>
        <v>トランザクション</v>
      </c>
    </row>
    <row r="4" spans="1:11" s="8" customFormat="1" x14ac:dyDescent="0.4">
      <c r="A4" s="64" t="s">
        <v>18</v>
      </c>
      <c r="B4" s="65"/>
      <c r="C4" s="10" t="str">
        <f>_xlfn.XLOOKUP($C$2,DWHTB一覧!$B:$B,DWHTB一覧!$F:$F)</f>
        <v>prod_log</v>
      </c>
    </row>
    <row r="5" spans="1:11" s="8" customFormat="1" x14ac:dyDescent="0.4">
      <c r="A5" s="64" t="s">
        <v>19</v>
      </c>
      <c r="B5" s="65"/>
      <c r="C5" s="10" t="str">
        <f>_xlfn.XLOOKUP($C$2,DWHTB一覧!$B:$B,DWHTB一覧!$G:$G)</f>
        <v>PROD_LOG</v>
      </c>
    </row>
    <row r="6" spans="1:11" s="8" customFormat="1" x14ac:dyDescent="0.4">
      <c r="A6" s="64" t="s">
        <v>6</v>
      </c>
      <c r="B6" s="65"/>
      <c r="C6" s="10" t="str">
        <f>_xlfn.XLOOKUP($C$2,DWHTB一覧!$B:$B,DWHTB一覧!$R:$R)</f>
        <v>NAS</v>
      </c>
    </row>
    <row r="7" spans="1:11" x14ac:dyDescent="0.4">
      <c r="C7" s="2"/>
      <c r="K7" s="1"/>
    </row>
    <row r="8" spans="1:11" x14ac:dyDescent="0.4">
      <c r="A8" s="25" t="s">
        <v>4</v>
      </c>
      <c r="B8" s="25" t="s">
        <v>88</v>
      </c>
      <c r="C8" s="25" t="s">
        <v>89</v>
      </c>
      <c r="D8" s="25" t="s">
        <v>77</v>
      </c>
      <c r="E8" s="25" t="s">
        <v>5</v>
      </c>
      <c r="F8" s="1"/>
      <c r="G8" s="1"/>
      <c r="H8" s="1"/>
      <c r="I8" s="1"/>
      <c r="J8" s="1"/>
      <c r="K8" s="1"/>
    </row>
    <row r="9" spans="1:11" s="3" customFormat="1" x14ac:dyDescent="0.4">
      <c r="A9" s="4">
        <f t="shared" ref="A9:A23" si="0">ROW()-8</f>
        <v>1</v>
      </c>
      <c r="B9" s="5" t="s">
        <v>12</v>
      </c>
      <c r="C9" s="6" t="s">
        <v>78</v>
      </c>
      <c r="D9" s="5" t="s">
        <v>79</v>
      </c>
      <c r="E9" s="5"/>
    </row>
    <row r="10" spans="1:11" s="3" customFormat="1" x14ac:dyDescent="0.4">
      <c r="A10" s="4">
        <f t="shared" si="0"/>
        <v>2</v>
      </c>
      <c r="B10" s="5" t="s">
        <v>21</v>
      </c>
      <c r="C10" s="5" t="s">
        <v>80</v>
      </c>
      <c r="D10" s="5" t="s">
        <v>81</v>
      </c>
      <c r="E10" s="5"/>
    </row>
    <row r="11" spans="1:11" s="3" customFormat="1" x14ac:dyDescent="0.4">
      <c r="A11" s="4">
        <f t="shared" si="0"/>
        <v>3</v>
      </c>
      <c r="B11" s="28" t="s">
        <v>37</v>
      </c>
      <c r="C11" s="27" t="s">
        <v>144</v>
      </c>
      <c r="D11" s="5" t="s">
        <v>81</v>
      </c>
      <c r="E11" s="27"/>
    </row>
    <row r="12" spans="1:11" s="3" customFormat="1" x14ac:dyDescent="0.4">
      <c r="A12" s="4">
        <f t="shared" si="0"/>
        <v>4</v>
      </c>
      <c r="B12" s="28" t="s">
        <v>23</v>
      </c>
      <c r="C12" s="27" t="s">
        <v>82</v>
      </c>
      <c r="D12" s="29" t="s">
        <v>81</v>
      </c>
      <c r="E12" s="27"/>
    </row>
    <row r="13" spans="1:11" s="3" customFormat="1" x14ac:dyDescent="0.4">
      <c r="A13" s="4">
        <f t="shared" si="0"/>
        <v>5</v>
      </c>
      <c r="B13" s="5" t="s">
        <v>87</v>
      </c>
      <c r="C13" s="6" t="s">
        <v>147</v>
      </c>
      <c r="D13" s="6" t="s">
        <v>81</v>
      </c>
      <c r="E13" s="6" t="s">
        <v>87</v>
      </c>
    </row>
    <row r="14" spans="1:11" x14ac:dyDescent="0.4">
      <c r="A14" s="4">
        <f t="shared" si="0"/>
        <v>6</v>
      </c>
      <c r="B14" s="5" t="s">
        <v>182</v>
      </c>
      <c r="C14" s="6" t="s">
        <v>193</v>
      </c>
      <c r="D14" s="6" t="s">
        <v>81</v>
      </c>
      <c r="E14" s="6"/>
      <c r="F14" s="3"/>
    </row>
    <row r="15" spans="1:11" x14ac:dyDescent="0.4">
      <c r="A15" s="4">
        <f t="shared" si="0"/>
        <v>7</v>
      </c>
      <c r="B15" s="5" t="s">
        <v>109</v>
      </c>
      <c r="C15" s="6" t="s">
        <v>194</v>
      </c>
      <c r="D15" s="6" t="s">
        <v>81</v>
      </c>
      <c r="E15" s="6"/>
      <c r="F15" s="3"/>
    </row>
    <row r="16" spans="1:11" s="3" customFormat="1" x14ac:dyDescent="0.4">
      <c r="A16" s="4">
        <f t="shared" si="0"/>
        <v>8</v>
      </c>
      <c r="B16" s="5" t="s">
        <v>183</v>
      </c>
      <c r="C16" s="6" t="s">
        <v>196</v>
      </c>
      <c r="D16" s="5" t="s">
        <v>81</v>
      </c>
      <c r="E16" s="5"/>
    </row>
    <row r="17" spans="1:5" s="3" customFormat="1" x14ac:dyDescent="0.4">
      <c r="A17" s="4">
        <f t="shared" si="0"/>
        <v>9</v>
      </c>
      <c r="B17" s="5" t="s">
        <v>184</v>
      </c>
      <c r="C17" s="6" t="s">
        <v>83</v>
      </c>
      <c r="D17" s="5" t="s">
        <v>81</v>
      </c>
      <c r="E17" s="5"/>
    </row>
    <row r="18" spans="1:5" s="3" customFormat="1" x14ac:dyDescent="0.4">
      <c r="A18" s="4">
        <f t="shared" si="0"/>
        <v>10</v>
      </c>
      <c r="B18" s="5" t="s">
        <v>185</v>
      </c>
      <c r="C18" s="6" t="s">
        <v>84</v>
      </c>
      <c r="D18" s="5" t="s">
        <v>81</v>
      </c>
      <c r="E18" s="5"/>
    </row>
    <row r="19" spans="1:5" s="3" customFormat="1" x14ac:dyDescent="0.4">
      <c r="A19" s="4">
        <f t="shared" si="0"/>
        <v>11</v>
      </c>
      <c r="B19" s="5" t="s">
        <v>186</v>
      </c>
      <c r="C19" s="6" t="s">
        <v>198</v>
      </c>
      <c r="D19" s="5" t="s">
        <v>81</v>
      </c>
      <c r="E19" s="5"/>
    </row>
    <row r="20" spans="1:5" s="3" customFormat="1" x14ac:dyDescent="0.4">
      <c r="A20" s="4">
        <f t="shared" si="0"/>
        <v>12</v>
      </c>
      <c r="B20" s="5" t="s">
        <v>187</v>
      </c>
      <c r="C20" s="6" t="s">
        <v>85</v>
      </c>
      <c r="D20" s="5" t="s">
        <v>81</v>
      </c>
      <c r="E20" s="5"/>
    </row>
    <row r="21" spans="1:5" s="3" customFormat="1" x14ac:dyDescent="0.4">
      <c r="A21" s="4">
        <f t="shared" si="0"/>
        <v>13</v>
      </c>
      <c r="B21" s="5" t="s">
        <v>188</v>
      </c>
      <c r="C21" s="6" t="s">
        <v>86</v>
      </c>
      <c r="D21" s="5" t="s">
        <v>81</v>
      </c>
      <c r="E21" s="5"/>
    </row>
    <row r="22" spans="1:5" s="3" customFormat="1" x14ac:dyDescent="0.4">
      <c r="A22" s="4">
        <f t="shared" si="0"/>
        <v>14</v>
      </c>
      <c r="B22" s="5" t="s">
        <v>176</v>
      </c>
      <c r="C22" s="6" t="s">
        <v>199</v>
      </c>
      <c r="D22" s="5" t="s">
        <v>81</v>
      </c>
      <c r="E22" s="5"/>
    </row>
    <row r="23" spans="1:5" s="3" customFormat="1" x14ac:dyDescent="0.4">
      <c r="A23" s="4">
        <f t="shared" si="0"/>
        <v>15</v>
      </c>
      <c r="B23" s="5" t="s">
        <v>189</v>
      </c>
      <c r="C23" s="6" t="s">
        <v>201</v>
      </c>
      <c r="D23" s="5" t="s">
        <v>81</v>
      </c>
      <c r="E23" s="5"/>
    </row>
  </sheetData>
  <mergeCells count="6">
    <mergeCell ref="A6:B6"/>
    <mergeCell ref="A1:B1"/>
    <mergeCell ref="A2:B2"/>
    <mergeCell ref="A3:B3"/>
    <mergeCell ref="A4:B4"/>
    <mergeCell ref="A5:B5"/>
  </mergeCells>
  <phoneticPr fontId="1"/>
  <hyperlinks>
    <hyperlink ref="A1" location="テーブル一覧!A1" display="一覧へ" xr:uid="{E6E0BBAB-5F04-43F7-B756-C70D5054407E}"/>
    <hyperlink ref="A1:B1" location="テーブル一覧!A1" display="テーブル一覧" xr:uid="{AD9A8CCC-388C-4E40-9528-C8840BFC7F6C}"/>
  </hyperlink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156FD-0930-4887-9352-767C0F8B3D55}">
  <dimension ref="A1:K33"/>
  <sheetViews>
    <sheetView showGridLines="0" zoomScaleNormal="100" workbookViewId="0">
      <pane ySplit="8" topLeftCell="A9" activePane="bottomLeft" state="frozen"/>
      <selection activeCell="C3" sqref="C3:C6"/>
      <selection pane="bottomLeft" activeCell="C9" sqref="C9"/>
    </sheetView>
  </sheetViews>
  <sheetFormatPr defaultColWidth="9" defaultRowHeight="15.75" x14ac:dyDescent="0.4"/>
  <cols>
    <col min="1" max="1" width="3.75" style="1" bestFit="1" customWidth="1"/>
    <col min="2" max="2" width="20.625" style="1" customWidth="1"/>
    <col min="3" max="3" width="49.375" style="1" customWidth="1"/>
    <col min="4" max="4" width="13" style="2" bestFit="1" customWidth="1"/>
    <col min="5" max="5" width="23.25" style="2" customWidth="1"/>
    <col min="6" max="6" width="44.5" style="2" customWidth="1"/>
    <col min="7" max="7" width="6.875" style="2" customWidth="1"/>
    <col min="8" max="8" width="7.625" style="2" bestFit="1" customWidth="1"/>
    <col min="9" max="9" width="10.875" style="2" bestFit="1" customWidth="1"/>
    <col min="10" max="10" width="9" style="2" bestFit="1" customWidth="1"/>
    <col min="11" max="11" width="16.5" style="2" customWidth="1"/>
    <col min="12" max="16384" width="9" style="1"/>
  </cols>
  <sheetData>
    <row r="1" spans="1:11" s="8" customFormat="1" x14ac:dyDescent="0.4">
      <c r="A1" s="66" t="s">
        <v>8</v>
      </c>
      <c r="B1" s="66"/>
      <c r="K1" s="9"/>
    </row>
    <row r="2" spans="1:11" s="8" customFormat="1" x14ac:dyDescent="0.4">
      <c r="A2" s="64" t="s">
        <v>4</v>
      </c>
      <c r="B2" s="65"/>
      <c r="C2" s="10" t="s">
        <v>69</v>
      </c>
    </row>
    <row r="3" spans="1:11" s="8" customFormat="1" x14ac:dyDescent="0.4">
      <c r="A3" s="64" t="s">
        <v>11</v>
      </c>
      <c r="B3" s="65"/>
      <c r="C3" s="10" t="str">
        <f>_xlfn.XLOOKUP($C$2,DWHTB一覧!$B:$B,DWHTB一覧!$E:$E)</f>
        <v>トランザクション</v>
      </c>
    </row>
    <row r="4" spans="1:11" s="8" customFormat="1" x14ac:dyDescent="0.4">
      <c r="A4" s="64" t="s">
        <v>18</v>
      </c>
      <c r="B4" s="65"/>
      <c r="C4" s="10" t="str">
        <f>_xlfn.XLOOKUP($C$2,DWHTB一覧!$B:$B,DWHTB一覧!$F:$F)</f>
        <v>nc_log</v>
      </c>
    </row>
    <row r="5" spans="1:11" s="8" customFormat="1" x14ac:dyDescent="0.4">
      <c r="A5" s="64" t="s">
        <v>19</v>
      </c>
      <c r="B5" s="65"/>
      <c r="C5" s="10" t="str">
        <f>_xlfn.XLOOKUP($C$2,DWHTB一覧!$B:$B,DWHTB一覧!$G:$G)</f>
        <v>数値検査_LOG</v>
      </c>
    </row>
    <row r="6" spans="1:11" s="8" customFormat="1" x14ac:dyDescent="0.4">
      <c r="A6" s="64" t="s">
        <v>6</v>
      </c>
      <c r="B6" s="65"/>
      <c r="C6" s="10" t="str">
        <f>_xlfn.XLOOKUP($C$2,DWHTB一覧!$B:$B,DWHTB一覧!$R:$R)</f>
        <v>NAS</v>
      </c>
    </row>
    <row r="7" spans="1:11" x14ac:dyDescent="0.4">
      <c r="C7" s="2"/>
      <c r="K7" s="1"/>
    </row>
    <row r="8" spans="1:11" x14ac:dyDescent="0.4">
      <c r="A8" s="25" t="s">
        <v>4</v>
      </c>
      <c r="B8" s="25" t="s">
        <v>88</v>
      </c>
      <c r="C8" s="25" t="s">
        <v>89</v>
      </c>
      <c r="D8" s="25" t="s">
        <v>77</v>
      </c>
      <c r="E8" s="25" t="s">
        <v>5</v>
      </c>
      <c r="F8" s="1"/>
      <c r="G8" s="1"/>
      <c r="H8" s="1"/>
      <c r="I8" s="1"/>
      <c r="J8" s="1"/>
      <c r="K8" s="1"/>
    </row>
    <row r="9" spans="1:11" s="3" customFormat="1" x14ac:dyDescent="0.4">
      <c r="A9" s="4">
        <f t="shared" ref="A9:A33" si="0">ROW()-8</f>
        <v>1</v>
      </c>
      <c r="B9" s="5" t="s">
        <v>35</v>
      </c>
      <c r="C9" s="6" t="s">
        <v>139</v>
      </c>
      <c r="D9" s="5" t="s">
        <v>81</v>
      </c>
      <c r="E9" s="5"/>
    </row>
    <row r="10" spans="1:11" s="3" customFormat="1" x14ac:dyDescent="0.4">
      <c r="A10" s="4">
        <f t="shared" si="0"/>
        <v>2</v>
      </c>
      <c r="B10" s="5" t="s">
        <v>36</v>
      </c>
      <c r="C10" s="5" t="s">
        <v>140</v>
      </c>
      <c r="D10" s="5" t="s">
        <v>81</v>
      </c>
      <c r="E10" s="5"/>
    </row>
    <row r="11" spans="1:11" s="3" customFormat="1" x14ac:dyDescent="0.4">
      <c r="A11" s="4">
        <f t="shared" si="0"/>
        <v>3</v>
      </c>
      <c r="B11" s="28" t="s">
        <v>37</v>
      </c>
      <c r="C11" s="27" t="s">
        <v>144</v>
      </c>
      <c r="D11" s="29" t="s">
        <v>81</v>
      </c>
      <c r="E11" s="27"/>
    </row>
    <row r="12" spans="1:11" s="3" customFormat="1" x14ac:dyDescent="0.4">
      <c r="A12" s="4">
        <f t="shared" si="0"/>
        <v>4</v>
      </c>
      <c r="B12" s="5" t="s">
        <v>32</v>
      </c>
      <c r="C12" s="6" t="s">
        <v>145</v>
      </c>
      <c r="D12" s="6" t="s">
        <v>81</v>
      </c>
      <c r="E12" s="6"/>
    </row>
    <row r="13" spans="1:11" x14ac:dyDescent="0.4">
      <c r="A13" s="4">
        <f t="shared" si="0"/>
        <v>5</v>
      </c>
      <c r="B13" s="5" t="s">
        <v>38</v>
      </c>
      <c r="C13" s="6" t="s">
        <v>82</v>
      </c>
      <c r="D13" s="6" t="s">
        <v>81</v>
      </c>
      <c r="E13" s="6"/>
    </row>
    <row r="14" spans="1:11" x14ac:dyDescent="0.4">
      <c r="A14" s="4">
        <f t="shared" si="0"/>
        <v>6</v>
      </c>
      <c r="B14" s="5" t="s">
        <v>39</v>
      </c>
      <c r="C14" s="6" t="s">
        <v>148</v>
      </c>
      <c r="D14" s="6" t="s">
        <v>81</v>
      </c>
      <c r="E14" s="6"/>
    </row>
    <row r="15" spans="1:11" s="3" customFormat="1" x14ac:dyDescent="0.4">
      <c r="A15" s="4">
        <f t="shared" si="0"/>
        <v>7</v>
      </c>
      <c r="B15" s="5" t="s">
        <v>34</v>
      </c>
      <c r="C15" s="6" t="s">
        <v>149</v>
      </c>
      <c r="D15" s="5" t="s">
        <v>81</v>
      </c>
      <c r="E15" s="5"/>
    </row>
    <row r="16" spans="1:11" s="3" customFormat="1" x14ac:dyDescent="0.4">
      <c r="A16" s="4">
        <f t="shared" si="0"/>
        <v>8</v>
      </c>
      <c r="B16" s="5" t="s">
        <v>40</v>
      </c>
      <c r="C16" s="6" t="s">
        <v>150</v>
      </c>
      <c r="D16" s="5" t="s">
        <v>151</v>
      </c>
      <c r="E16" s="5"/>
    </row>
    <row r="17" spans="1:5" s="3" customFormat="1" x14ac:dyDescent="0.4">
      <c r="A17" s="4">
        <f t="shared" si="0"/>
        <v>9</v>
      </c>
      <c r="B17" s="5" t="s">
        <v>41</v>
      </c>
      <c r="C17" s="6" t="s">
        <v>152</v>
      </c>
      <c r="D17" s="5" t="s">
        <v>81</v>
      </c>
      <c r="E17" s="5"/>
    </row>
    <row r="18" spans="1:5" s="3" customFormat="1" x14ac:dyDescent="0.4">
      <c r="A18" s="4">
        <f t="shared" si="0"/>
        <v>10</v>
      </c>
      <c r="B18" s="5" t="s">
        <v>42</v>
      </c>
      <c r="C18" s="6" t="s">
        <v>153</v>
      </c>
      <c r="D18" s="5" t="s">
        <v>81</v>
      </c>
      <c r="E18" s="5"/>
    </row>
    <row r="19" spans="1:5" s="3" customFormat="1" x14ac:dyDescent="0.4">
      <c r="A19" s="4">
        <f t="shared" si="0"/>
        <v>11</v>
      </c>
      <c r="B19" s="5" t="s">
        <v>43</v>
      </c>
      <c r="C19" s="6" t="s">
        <v>141</v>
      </c>
      <c r="D19" s="5" t="s">
        <v>81</v>
      </c>
      <c r="E19" s="5"/>
    </row>
    <row r="20" spans="1:5" s="3" customFormat="1" x14ac:dyDescent="0.4">
      <c r="A20" s="4">
        <f t="shared" si="0"/>
        <v>12</v>
      </c>
      <c r="B20" s="5" t="s">
        <v>44</v>
      </c>
      <c r="C20" s="6" t="s">
        <v>142</v>
      </c>
      <c r="D20" s="5" t="s">
        <v>81</v>
      </c>
      <c r="E20" s="5"/>
    </row>
    <row r="21" spans="1:5" s="3" customFormat="1" x14ac:dyDescent="0.4">
      <c r="A21" s="4">
        <f t="shared" si="0"/>
        <v>13</v>
      </c>
      <c r="B21" s="5" t="s">
        <v>45</v>
      </c>
      <c r="C21" s="6" t="s">
        <v>154</v>
      </c>
      <c r="D21" s="5" t="s">
        <v>81</v>
      </c>
      <c r="E21" s="5"/>
    </row>
    <row r="22" spans="1:5" s="3" customFormat="1" x14ac:dyDescent="0.4">
      <c r="A22" s="4">
        <f t="shared" si="0"/>
        <v>14</v>
      </c>
      <c r="B22" s="5" t="s">
        <v>46</v>
      </c>
      <c r="C22" s="6" t="s">
        <v>155</v>
      </c>
      <c r="D22" s="5" t="s">
        <v>81</v>
      </c>
      <c r="E22" s="5"/>
    </row>
    <row r="23" spans="1:5" s="3" customFormat="1" x14ac:dyDescent="0.4">
      <c r="A23" s="4">
        <f t="shared" si="0"/>
        <v>15</v>
      </c>
      <c r="B23" s="5" t="s">
        <v>47</v>
      </c>
      <c r="C23" s="6" t="s">
        <v>156</v>
      </c>
      <c r="D23" s="5" t="s">
        <v>81</v>
      </c>
      <c r="E23" s="5"/>
    </row>
    <row r="24" spans="1:5" s="3" customFormat="1" x14ac:dyDescent="0.4">
      <c r="A24" s="4">
        <f t="shared" si="0"/>
        <v>16</v>
      </c>
      <c r="B24" s="5" t="s">
        <v>48</v>
      </c>
      <c r="C24" s="6" t="s">
        <v>157</v>
      </c>
      <c r="D24" s="5" t="s">
        <v>81</v>
      </c>
      <c r="E24" s="5"/>
    </row>
    <row r="25" spans="1:5" s="3" customFormat="1" x14ac:dyDescent="0.4">
      <c r="A25" s="4">
        <f t="shared" si="0"/>
        <v>17</v>
      </c>
      <c r="B25" s="5" t="s">
        <v>49</v>
      </c>
      <c r="C25" s="6" t="s">
        <v>158</v>
      </c>
      <c r="D25" s="5" t="s">
        <v>81</v>
      </c>
      <c r="E25" s="5"/>
    </row>
    <row r="26" spans="1:5" s="3" customFormat="1" x14ac:dyDescent="0.4">
      <c r="A26" s="4">
        <f t="shared" si="0"/>
        <v>18</v>
      </c>
      <c r="B26" s="5" t="s">
        <v>50</v>
      </c>
      <c r="C26" s="6" t="s">
        <v>159</v>
      </c>
      <c r="D26" s="5" t="s">
        <v>81</v>
      </c>
      <c r="E26" s="5"/>
    </row>
    <row r="27" spans="1:5" s="3" customFormat="1" x14ac:dyDescent="0.4">
      <c r="A27" s="4">
        <f t="shared" si="0"/>
        <v>19</v>
      </c>
      <c r="B27" s="5" t="s">
        <v>51</v>
      </c>
      <c r="C27" s="6" t="s">
        <v>160</v>
      </c>
      <c r="D27" s="5" t="s">
        <v>81</v>
      </c>
      <c r="E27" s="5"/>
    </row>
    <row r="28" spans="1:5" s="3" customFormat="1" x14ac:dyDescent="0.4">
      <c r="A28" s="4">
        <f t="shared" si="0"/>
        <v>20</v>
      </c>
      <c r="B28" s="5" t="s">
        <v>52</v>
      </c>
      <c r="C28" s="6" t="s">
        <v>161</v>
      </c>
      <c r="D28" s="5" t="s">
        <v>81</v>
      </c>
      <c r="E28" s="5"/>
    </row>
    <row r="29" spans="1:5" s="3" customFormat="1" x14ac:dyDescent="0.4">
      <c r="A29" s="4">
        <f t="shared" si="0"/>
        <v>21</v>
      </c>
      <c r="B29" s="5" t="s">
        <v>53</v>
      </c>
      <c r="C29" s="6" t="s">
        <v>162</v>
      </c>
      <c r="D29" s="5" t="s">
        <v>81</v>
      </c>
      <c r="E29" s="5"/>
    </row>
    <row r="30" spans="1:5" s="3" customFormat="1" x14ac:dyDescent="0.4">
      <c r="A30" s="4">
        <f t="shared" si="0"/>
        <v>22</v>
      </c>
      <c r="B30" s="5" t="s">
        <v>54</v>
      </c>
      <c r="C30" s="6" t="s">
        <v>163</v>
      </c>
      <c r="D30" s="5" t="s">
        <v>81</v>
      </c>
      <c r="E30" s="5"/>
    </row>
    <row r="31" spans="1:5" s="3" customFormat="1" x14ac:dyDescent="0.4">
      <c r="A31" s="4">
        <f t="shared" si="0"/>
        <v>23</v>
      </c>
      <c r="B31" s="5" t="s">
        <v>55</v>
      </c>
      <c r="C31" s="6" t="s">
        <v>164</v>
      </c>
      <c r="D31" s="5" t="s">
        <v>81</v>
      </c>
      <c r="E31" s="5"/>
    </row>
    <row r="32" spans="1:5" s="3" customFormat="1" x14ac:dyDescent="0.4">
      <c r="A32" s="4">
        <f t="shared" si="0"/>
        <v>24</v>
      </c>
      <c r="B32" s="5" t="s">
        <v>56</v>
      </c>
      <c r="C32" s="6" t="s">
        <v>165</v>
      </c>
      <c r="D32" s="5" t="s">
        <v>81</v>
      </c>
      <c r="E32" s="5"/>
    </row>
    <row r="33" spans="1:5" s="3" customFormat="1" x14ac:dyDescent="0.4">
      <c r="A33" s="4">
        <f t="shared" si="0"/>
        <v>25</v>
      </c>
      <c r="B33" s="5" t="s">
        <v>57</v>
      </c>
      <c r="C33" s="6" t="s">
        <v>166</v>
      </c>
      <c r="D33" s="5" t="s">
        <v>81</v>
      </c>
      <c r="E33" s="5"/>
    </row>
  </sheetData>
  <mergeCells count="6">
    <mergeCell ref="A6:B6"/>
    <mergeCell ref="A1:B1"/>
    <mergeCell ref="A2:B2"/>
    <mergeCell ref="A3:B3"/>
    <mergeCell ref="A4:B4"/>
    <mergeCell ref="A5:B5"/>
  </mergeCells>
  <phoneticPr fontId="1"/>
  <hyperlinks>
    <hyperlink ref="A1" location="テーブル一覧!A1" display="一覧へ" xr:uid="{7ABF8767-787A-4D02-B362-799777579994}"/>
    <hyperlink ref="A1:B1" location="テーブル一覧!A1" display="テーブル一覧" xr:uid="{E5E3616E-0327-46AB-8A03-740A2FE1D0AC}"/>
  </hyperlink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923B0-7AAB-4A02-A276-031ADD28FE77}">
  <dimension ref="A1:K16"/>
  <sheetViews>
    <sheetView showGridLines="0" zoomScaleNormal="100" workbookViewId="0">
      <pane ySplit="8" topLeftCell="A9" activePane="bottomLeft" state="frozen"/>
      <selection activeCell="C3" sqref="C3:C6"/>
      <selection pane="bottomLeft" activeCell="A2" sqref="A2:B2"/>
    </sheetView>
  </sheetViews>
  <sheetFormatPr defaultColWidth="9" defaultRowHeight="15.75" x14ac:dyDescent="0.4"/>
  <cols>
    <col min="1" max="1" width="3.75" style="1" bestFit="1" customWidth="1"/>
    <col min="2" max="2" width="20.625" style="1" customWidth="1"/>
    <col min="3" max="3" width="49.375" style="1" customWidth="1"/>
    <col min="4" max="4" width="13" style="2" bestFit="1" customWidth="1"/>
    <col min="5" max="5" width="23.25" style="2" customWidth="1"/>
    <col min="6" max="6" width="44.5" style="2" customWidth="1"/>
    <col min="7" max="7" width="6.875" style="2" customWidth="1"/>
    <col min="8" max="8" width="7.625" style="2" bestFit="1" customWidth="1"/>
    <col min="9" max="9" width="10.875" style="2" bestFit="1" customWidth="1"/>
    <col min="10" max="10" width="9" style="2" bestFit="1" customWidth="1"/>
    <col min="11" max="11" width="16.5" style="2" customWidth="1"/>
    <col min="12" max="16384" width="9" style="1"/>
  </cols>
  <sheetData>
    <row r="1" spans="1:11" s="8" customFormat="1" x14ac:dyDescent="0.4">
      <c r="A1" s="66" t="s">
        <v>8</v>
      </c>
      <c r="B1" s="66"/>
      <c r="K1" s="9"/>
    </row>
    <row r="2" spans="1:11" s="8" customFormat="1" x14ac:dyDescent="0.4">
      <c r="A2" s="64" t="s">
        <v>4</v>
      </c>
      <c r="B2" s="65"/>
      <c r="C2" s="10" t="s">
        <v>103</v>
      </c>
    </row>
    <row r="3" spans="1:11" s="8" customFormat="1" x14ac:dyDescent="0.4">
      <c r="A3" s="64" t="s">
        <v>11</v>
      </c>
      <c r="B3" s="65"/>
      <c r="C3" s="10" t="str">
        <f>_xlfn.XLOOKUP($C$2,DWHTB一覧!$B:$B,DWHTB一覧!$E:$E)</f>
        <v>トランザクション</v>
      </c>
    </row>
    <row r="4" spans="1:11" s="8" customFormat="1" x14ac:dyDescent="0.4">
      <c r="A4" s="64" t="s">
        <v>18</v>
      </c>
      <c r="B4" s="65"/>
      <c r="C4" s="10" t="str">
        <f>_xlfn.XLOOKUP($C$2,DWHTB一覧!$B:$B,DWHTB一覧!$F:$F)</f>
        <v>qr_h_log</v>
      </c>
    </row>
    <row r="5" spans="1:11" s="8" customFormat="1" x14ac:dyDescent="0.4">
      <c r="A5" s="64" t="s">
        <v>19</v>
      </c>
      <c r="B5" s="65"/>
      <c r="C5" s="10" t="str">
        <f>_xlfn.XLOOKUP($C$2,DWHTB一覧!$B:$B,DWHTB一覧!$G:$G)</f>
        <v>品質記録_ヘッダ_LOG</v>
      </c>
    </row>
    <row r="6" spans="1:11" s="8" customFormat="1" x14ac:dyDescent="0.4">
      <c r="A6" s="64" t="s">
        <v>6</v>
      </c>
      <c r="B6" s="65"/>
      <c r="C6" s="10" t="str">
        <f>_xlfn.XLOOKUP($C$2,DWHTB一覧!$B:$B,DWHTB一覧!$R:$R)</f>
        <v>NAS</v>
      </c>
    </row>
    <row r="7" spans="1:11" x14ac:dyDescent="0.4">
      <c r="C7" s="2"/>
      <c r="K7" s="1"/>
    </row>
    <row r="8" spans="1:11" x14ac:dyDescent="0.4">
      <c r="A8" s="25" t="s">
        <v>4</v>
      </c>
      <c r="B8" s="25" t="s">
        <v>88</v>
      </c>
      <c r="C8" s="25" t="s">
        <v>89</v>
      </c>
      <c r="D8" s="25" t="s">
        <v>77</v>
      </c>
      <c r="E8" s="25" t="s">
        <v>5</v>
      </c>
      <c r="F8" s="1"/>
      <c r="G8" s="1"/>
      <c r="H8" s="1"/>
      <c r="I8" s="1"/>
      <c r="J8" s="1"/>
      <c r="K8" s="1"/>
    </row>
    <row r="9" spans="1:11" s="3" customFormat="1" x14ac:dyDescent="0.4">
      <c r="A9" s="4">
        <f t="shared" ref="A9:A16" si="0">ROW()-8</f>
        <v>1</v>
      </c>
      <c r="B9" s="5" t="s">
        <v>39</v>
      </c>
      <c r="C9" s="6" t="s">
        <v>148</v>
      </c>
      <c r="D9" s="5" t="s">
        <v>81</v>
      </c>
      <c r="E9" s="5"/>
    </row>
    <row r="10" spans="1:11" s="3" customFormat="1" x14ac:dyDescent="0.4">
      <c r="A10" s="4">
        <f t="shared" si="0"/>
        <v>2</v>
      </c>
      <c r="B10" s="5" t="s">
        <v>37</v>
      </c>
      <c r="C10" s="5" t="s">
        <v>144</v>
      </c>
      <c r="D10" s="5" t="s">
        <v>81</v>
      </c>
      <c r="E10" s="5"/>
    </row>
    <row r="11" spans="1:11" s="3" customFormat="1" x14ac:dyDescent="0.4">
      <c r="A11" s="4">
        <f t="shared" si="0"/>
        <v>3</v>
      </c>
      <c r="B11" s="28" t="s">
        <v>38</v>
      </c>
      <c r="C11" s="27" t="s">
        <v>82</v>
      </c>
      <c r="D11" s="29" t="s">
        <v>81</v>
      </c>
      <c r="E11" s="27"/>
    </row>
    <row r="12" spans="1:11" s="3" customFormat="1" x14ac:dyDescent="0.4">
      <c r="A12" s="4">
        <f t="shared" si="0"/>
        <v>4</v>
      </c>
      <c r="B12" s="5" t="s">
        <v>105</v>
      </c>
      <c r="C12" s="6" t="s">
        <v>149</v>
      </c>
      <c r="D12" s="6" t="s">
        <v>81</v>
      </c>
      <c r="E12" s="6"/>
    </row>
    <row r="13" spans="1:11" x14ac:dyDescent="0.4">
      <c r="A13" s="4">
        <f t="shared" si="0"/>
        <v>5</v>
      </c>
      <c r="B13" s="5" t="s">
        <v>106</v>
      </c>
      <c r="C13" s="6" t="s">
        <v>150</v>
      </c>
      <c r="D13" s="6" t="s">
        <v>151</v>
      </c>
      <c r="E13" s="6"/>
    </row>
    <row r="14" spans="1:11" x14ac:dyDescent="0.4">
      <c r="A14" s="4">
        <f t="shared" si="0"/>
        <v>6</v>
      </c>
      <c r="B14" s="5" t="s">
        <v>107</v>
      </c>
      <c r="C14" s="6" t="s">
        <v>167</v>
      </c>
      <c r="D14" s="6" t="s">
        <v>81</v>
      </c>
      <c r="E14" s="6"/>
    </row>
    <row r="15" spans="1:11" s="3" customFormat="1" x14ac:dyDescent="0.4">
      <c r="A15" s="4">
        <f t="shared" si="0"/>
        <v>7</v>
      </c>
      <c r="B15" s="5" t="s">
        <v>108</v>
      </c>
      <c r="C15" s="6" t="s">
        <v>168</v>
      </c>
      <c r="D15" s="5" t="s">
        <v>81</v>
      </c>
      <c r="E15" s="5"/>
    </row>
    <row r="16" spans="1:11" s="3" customFormat="1" x14ac:dyDescent="0.4">
      <c r="A16" s="4">
        <f t="shared" si="0"/>
        <v>8</v>
      </c>
      <c r="B16" s="5" t="s">
        <v>109</v>
      </c>
      <c r="C16" s="6" t="s">
        <v>169</v>
      </c>
      <c r="D16" s="5" t="s">
        <v>81</v>
      </c>
      <c r="E16" s="5"/>
    </row>
  </sheetData>
  <mergeCells count="6">
    <mergeCell ref="A6:B6"/>
    <mergeCell ref="A1:B1"/>
    <mergeCell ref="A2:B2"/>
    <mergeCell ref="A3:B3"/>
    <mergeCell ref="A4:B4"/>
    <mergeCell ref="A5:B5"/>
  </mergeCells>
  <phoneticPr fontId="1"/>
  <hyperlinks>
    <hyperlink ref="A1" location="テーブル一覧!A1" display="一覧へ" xr:uid="{58FC1C87-5036-4F6B-8DAF-A49B22711746}"/>
    <hyperlink ref="A1:B1" location="テーブル一覧!A1" display="テーブル一覧" xr:uid="{D2AACF31-81B8-4AC0-8B74-32BCD9F28627}"/>
  </hyperlink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B1E79-F93F-4EE6-8A12-0CD92B7D8279}">
  <dimension ref="A1:K15"/>
  <sheetViews>
    <sheetView showGridLines="0" zoomScaleNormal="100" workbookViewId="0">
      <pane ySplit="8" topLeftCell="A9" activePane="bottomLeft" state="frozen"/>
      <selection activeCell="C3" sqref="C3:C6"/>
      <selection pane="bottomLeft" activeCell="A2" sqref="A2:B2"/>
    </sheetView>
  </sheetViews>
  <sheetFormatPr defaultColWidth="9" defaultRowHeight="15.75" x14ac:dyDescent="0.4"/>
  <cols>
    <col min="1" max="1" width="3.75" style="1" bestFit="1" customWidth="1"/>
    <col min="2" max="2" width="20.625" style="1" customWidth="1"/>
    <col min="3" max="3" width="49.375" style="1" customWidth="1"/>
    <col min="4" max="4" width="13" style="2" bestFit="1" customWidth="1"/>
    <col min="5" max="5" width="23.25" style="2" customWidth="1"/>
    <col min="6" max="6" width="44.5" style="2" customWidth="1"/>
    <col min="7" max="7" width="6.875" style="2" customWidth="1"/>
    <col min="8" max="8" width="7.625" style="2" bestFit="1" customWidth="1"/>
    <col min="9" max="9" width="10.875" style="2" bestFit="1" customWidth="1"/>
    <col min="10" max="10" width="9" style="2" bestFit="1" customWidth="1"/>
    <col min="11" max="11" width="16.5" style="2" customWidth="1"/>
    <col min="12" max="16384" width="9" style="1"/>
  </cols>
  <sheetData>
    <row r="1" spans="1:11" s="8" customFormat="1" x14ac:dyDescent="0.4">
      <c r="A1" s="66" t="s">
        <v>8</v>
      </c>
      <c r="B1" s="66"/>
      <c r="K1" s="9"/>
    </row>
    <row r="2" spans="1:11" s="8" customFormat="1" x14ac:dyDescent="0.4">
      <c r="A2" s="64" t="s">
        <v>4</v>
      </c>
      <c r="B2" s="65"/>
      <c r="C2" s="10" t="s">
        <v>104</v>
      </c>
    </row>
    <row r="3" spans="1:11" s="8" customFormat="1" x14ac:dyDescent="0.4">
      <c r="A3" s="64" t="s">
        <v>11</v>
      </c>
      <c r="B3" s="65"/>
      <c r="C3" s="10" t="str">
        <f>_xlfn.XLOOKUP($C$2,DWHTB一覧!$B:$B,DWHTB一覧!$E:$E)</f>
        <v>トランザクション</v>
      </c>
    </row>
    <row r="4" spans="1:11" s="8" customFormat="1" x14ac:dyDescent="0.4">
      <c r="A4" s="64" t="s">
        <v>18</v>
      </c>
      <c r="B4" s="65"/>
      <c r="C4" s="10" t="str">
        <f>_xlfn.XLOOKUP($C$2,DWHTB一覧!$B:$B,DWHTB一覧!$F:$F)</f>
        <v>qr_d_log</v>
      </c>
    </row>
    <row r="5" spans="1:11" s="8" customFormat="1" x14ac:dyDescent="0.4">
      <c r="A5" s="64" t="s">
        <v>19</v>
      </c>
      <c r="B5" s="65"/>
      <c r="C5" s="10" t="str">
        <f>_xlfn.XLOOKUP($C$2,DWHTB一覧!$B:$B,DWHTB一覧!$G:$G)</f>
        <v>品質記録_不良数_LOG</v>
      </c>
    </row>
    <row r="6" spans="1:11" s="8" customFormat="1" x14ac:dyDescent="0.4">
      <c r="A6" s="64" t="s">
        <v>6</v>
      </c>
      <c r="B6" s="65"/>
      <c r="C6" s="10" t="str">
        <f>_xlfn.XLOOKUP($C$2,DWHTB一覧!$B:$B,DWHTB一覧!$R:$R)</f>
        <v>NAS</v>
      </c>
    </row>
    <row r="7" spans="1:11" x14ac:dyDescent="0.4">
      <c r="C7" s="2"/>
      <c r="K7" s="1"/>
    </row>
    <row r="8" spans="1:11" x14ac:dyDescent="0.4">
      <c r="A8" s="25" t="s">
        <v>4</v>
      </c>
      <c r="B8" s="25" t="s">
        <v>88</v>
      </c>
      <c r="C8" s="25" t="s">
        <v>89</v>
      </c>
      <c r="D8" s="25" t="s">
        <v>77</v>
      </c>
      <c r="E8" s="25" t="s">
        <v>5</v>
      </c>
      <c r="F8" s="1"/>
      <c r="G8" s="1"/>
      <c r="H8" s="1"/>
      <c r="I8" s="1"/>
      <c r="J8" s="1"/>
      <c r="K8" s="1"/>
    </row>
    <row r="9" spans="1:11" s="3" customFormat="1" x14ac:dyDescent="0.4">
      <c r="A9" s="4">
        <f t="shared" ref="A9:A15" si="0">ROW()-8</f>
        <v>1</v>
      </c>
      <c r="B9" s="5" t="s">
        <v>39</v>
      </c>
      <c r="C9" s="6" t="s">
        <v>148</v>
      </c>
      <c r="D9" s="5" t="s">
        <v>81</v>
      </c>
      <c r="E9" s="5"/>
    </row>
    <row r="10" spans="1:11" s="3" customFormat="1" x14ac:dyDescent="0.4">
      <c r="A10" s="4">
        <f t="shared" si="0"/>
        <v>2</v>
      </c>
      <c r="B10" s="5" t="s">
        <v>106</v>
      </c>
      <c r="C10" s="5" t="s">
        <v>150</v>
      </c>
      <c r="D10" s="5" t="s">
        <v>151</v>
      </c>
      <c r="E10" s="5"/>
    </row>
    <row r="11" spans="1:11" s="3" customFormat="1" x14ac:dyDescent="0.4">
      <c r="A11" s="4">
        <f t="shared" si="0"/>
        <v>3</v>
      </c>
      <c r="B11" s="28" t="s">
        <v>170</v>
      </c>
      <c r="C11" s="27" t="s">
        <v>171</v>
      </c>
      <c r="D11" s="29" t="s">
        <v>81</v>
      </c>
      <c r="E11" s="27"/>
    </row>
    <row r="12" spans="1:11" s="3" customFormat="1" x14ac:dyDescent="0.4">
      <c r="A12" s="4">
        <f t="shared" si="0"/>
        <v>4</v>
      </c>
      <c r="B12" s="5" t="s">
        <v>172</v>
      </c>
      <c r="C12" s="6" t="s">
        <v>173</v>
      </c>
      <c r="D12" s="6" t="s">
        <v>81</v>
      </c>
      <c r="E12" s="6"/>
    </row>
    <row r="13" spans="1:11" x14ac:dyDescent="0.4">
      <c r="A13" s="4">
        <f t="shared" si="0"/>
        <v>5</v>
      </c>
      <c r="B13" s="5" t="s">
        <v>174</v>
      </c>
      <c r="C13" s="6" t="s">
        <v>175</v>
      </c>
      <c r="D13" s="6" t="s">
        <v>81</v>
      </c>
      <c r="E13" s="6"/>
    </row>
    <row r="14" spans="1:11" x14ac:dyDescent="0.4">
      <c r="A14" s="4">
        <f t="shared" si="0"/>
        <v>6</v>
      </c>
      <c r="B14" s="5" t="s">
        <v>176</v>
      </c>
      <c r="C14" s="6" t="s">
        <v>177</v>
      </c>
      <c r="D14" s="6" t="s">
        <v>81</v>
      </c>
      <c r="E14" s="6"/>
    </row>
    <row r="15" spans="1:11" s="3" customFormat="1" x14ac:dyDescent="0.4">
      <c r="A15" s="4">
        <f t="shared" si="0"/>
        <v>7</v>
      </c>
      <c r="B15" s="5" t="s">
        <v>178</v>
      </c>
      <c r="C15" s="6" t="s">
        <v>179</v>
      </c>
      <c r="D15" s="5" t="s">
        <v>81</v>
      </c>
      <c r="E15" s="5"/>
    </row>
  </sheetData>
  <mergeCells count="6">
    <mergeCell ref="A6:B6"/>
    <mergeCell ref="A1:B1"/>
    <mergeCell ref="A2:B2"/>
    <mergeCell ref="A3:B3"/>
    <mergeCell ref="A4:B4"/>
    <mergeCell ref="A5:B5"/>
  </mergeCells>
  <phoneticPr fontId="1"/>
  <hyperlinks>
    <hyperlink ref="A1" location="テーブル一覧!A1" display="一覧へ" xr:uid="{749F4438-5730-4656-BD02-10AF6C94E4B5}"/>
    <hyperlink ref="A1:B1" location="テーブル一覧!A1" display="テーブル一覧" xr:uid="{9BC0D0EA-8031-49AA-AA3F-220042C3C5AF}"/>
  </hyperlink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374F5-D9AA-417F-875D-40234401438E}">
  <sheetPr>
    <tabColor theme="1"/>
  </sheetPr>
  <dimension ref="A1:D75"/>
  <sheetViews>
    <sheetView topLeftCell="A3" zoomScale="85" zoomScaleNormal="85" workbookViewId="0">
      <selection activeCell="B15" sqref="B15:D20"/>
    </sheetView>
  </sheetViews>
  <sheetFormatPr defaultRowHeight="15.75" x14ac:dyDescent="0.4"/>
  <cols>
    <col min="1" max="1" width="9" style="1"/>
    <col min="2" max="2" width="30" style="1" customWidth="1"/>
    <col min="3" max="3" width="25.625" style="1" bestFit="1" customWidth="1"/>
    <col min="4" max="4" width="8.875" style="1" bestFit="1" customWidth="1"/>
    <col min="5" max="16384" width="9" style="1"/>
  </cols>
  <sheetData>
    <row r="1" spans="1:4" x14ac:dyDescent="0.4">
      <c r="A1" s="1" t="s">
        <v>3</v>
      </c>
      <c r="B1" s="63" t="s">
        <v>181</v>
      </c>
      <c r="C1" s="63" t="s">
        <v>180</v>
      </c>
      <c r="D1" s="63" t="s">
        <v>77</v>
      </c>
    </row>
    <row r="2" spans="1:4" x14ac:dyDescent="0.4">
      <c r="A2" s="1">
        <v>1</v>
      </c>
      <c r="B2" s="28" t="s">
        <v>92</v>
      </c>
      <c r="C2" s="27" t="s">
        <v>93</v>
      </c>
      <c r="D2" s="28" t="s">
        <v>81</v>
      </c>
    </row>
    <row r="3" spans="1:4" x14ac:dyDescent="0.4">
      <c r="A3" s="1">
        <v>2</v>
      </c>
      <c r="B3" s="28" t="s">
        <v>23</v>
      </c>
      <c r="C3" s="28" t="s">
        <v>82</v>
      </c>
      <c r="D3" s="28" t="s">
        <v>81</v>
      </c>
    </row>
    <row r="4" spans="1:4" x14ac:dyDescent="0.4">
      <c r="A4" s="1">
        <v>3</v>
      </c>
      <c r="B4" s="28" t="s">
        <v>24</v>
      </c>
      <c r="C4" s="27" t="s">
        <v>94</v>
      </c>
      <c r="D4" s="62" t="s">
        <v>81</v>
      </c>
    </row>
    <row r="5" spans="1:4" x14ac:dyDescent="0.4">
      <c r="A5" s="1">
        <v>4</v>
      </c>
      <c r="B5" s="28" t="s">
        <v>95</v>
      </c>
      <c r="C5" s="27" t="s">
        <v>96</v>
      </c>
      <c r="D5" s="27" t="s">
        <v>81</v>
      </c>
    </row>
    <row r="6" spans="1:4" x14ac:dyDescent="0.4">
      <c r="A6" s="1">
        <v>5</v>
      </c>
      <c r="B6" s="28" t="s">
        <v>90</v>
      </c>
      <c r="C6" s="27" t="s">
        <v>91</v>
      </c>
      <c r="D6" s="28" t="s">
        <v>81</v>
      </c>
    </row>
    <row r="7" spans="1:4" x14ac:dyDescent="0.4">
      <c r="A7" s="1">
        <v>6</v>
      </c>
      <c r="B7" s="28" t="s">
        <v>97</v>
      </c>
      <c r="C7" s="28" t="s">
        <v>98</v>
      </c>
      <c r="D7" s="28" t="s">
        <v>81</v>
      </c>
    </row>
    <row r="8" spans="1:4" x14ac:dyDescent="0.4">
      <c r="A8" s="1">
        <v>7</v>
      </c>
      <c r="B8" s="28" t="s">
        <v>35</v>
      </c>
      <c r="C8" s="27" t="s">
        <v>139</v>
      </c>
      <c r="D8" s="28" t="s">
        <v>81</v>
      </c>
    </row>
    <row r="9" spans="1:4" x14ac:dyDescent="0.4">
      <c r="A9" s="1">
        <v>8</v>
      </c>
      <c r="B9" s="28" t="s">
        <v>36</v>
      </c>
      <c r="C9" s="28" t="s">
        <v>140</v>
      </c>
      <c r="D9" s="28" t="s">
        <v>81</v>
      </c>
    </row>
    <row r="10" spans="1:4" x14ac:dyDescent="0.4">
      <c r="A10" s="1">
        <v>9</v>
      </c>
      <c r="B10" s="28" t="s">
        <v>43</v>
      </c>
      <c r="C10" s="28" t="s">
        <v>141</v>
      </c>
      <c r="D10" s="28" t="s">
        <v>81</v>
      </c>
    </row>
    <row r="11" spans="1:4" x14ac:dyDescent="0.4">
      <c r="A11" s="1">
        <v>10</v>
      </c>
      <c r="B11" s="28" t="s">
        <v>44</v>
      </c>
      <c r="C11" s="28" t="s">
        <v>142</v>
      </c>
      <c r="D11" s="28" t="s">
        <v>81</v>
      </c>
    </row>
    <row r="12" spans="1:4" x14ac:dyDescent="0.4">
      <c r="A12" s="1">
        <v>11</v>
      </c>
      <c r="B12" s="28" t="s">
        <v>71</v>
      </c>
      <c r="C12" s="28" t="s">
        <v>143</v>
      </c>
      <c r="D12" s="28" t="s">
        <v>81</v>
      </c>
    </row>
    <row r="13" spans="1:4" x14ac:dyDescent="0.4">
      <c r="A13" s="1">
        <v>12</v>
      </c>
      <c r="B13" s="28" t="s">
        <v>37</v>
      </c>
      <c r="C13" s="27" t="s">
        <v>144</v>
      </c>
      <c r="D13" s="28" t="s">
        <v>81</v>
      </c>
    </row>
    <row r="14" spans="1:4" x14ac:dyDescent="0.4">
      <c r="A14" s="1">
        <v>13</v>
      </c>
      <c r="B14" s="28" t="s">
        <v>32</v>
      </c>
      <c r="C14" s="28" t="s">
        <v>145</v>
      </c>
      <c r="D14" s="28" t="s">
        <v>81</v>
      </c>
    </row>
    <row r="15" spans="1:4" x14ac:dyDescent="0.4">
      <c r="A15" s="1">
        <v>14</v>
      </c>
      <c r="B15" s="28" t="s">
        <v>12</v>
      </c>
      <c r="C15" s="27" t="s">
        <v>78</v>
      </c>
      <c r="D15" s="28" t="s">
        <v>79</v>
      </c>
    </row>
    <row r="16" spans="1:4" x14ac:dyDescent="0.4">
      <c r="A16" s="1">
        <v>15</v>
      </c>
      <c r="B16" s="28" t="s">
        <v>21</v>
      </c>
      <c r="C16" s="28" t="s">
        <v>80</v>
      </c>
      <c r="D16" s="28" t="s">
        <v>81</v>
      </c>
    </row>
    <row r="17" spans="1:4" x14ac:dyDescent="0.4">
      <c r="A17" s="1">
        <v>16</v>
      </c>
      <c r="B17" s="28" t="s">
        <v>37</v>
      </c>
      <c r="C17" s="27" t="s">
        <v>144</v>
      </c>
      <c r="D17" s="28" t="s">
        <v>81</v>
      </c>
    </row>
    <row r="18" spans="1:4" x14ac:dyDescent="0.4">
      <c r="A18" s="1">
        <v>17</v>
      </c>
      <c r="B18" s="28" t="s">
        <v>23</v>
      </c>
      <c r="C18" s="27" t="s">
        <v>82</v>
      </c>
      <c r="D18" s="62" t="s">
        <v>81</v>
      </c>
    </row>
    <row r="19" spans="1:4" x14ac:dyDescent="0.4">
      <c r="A19" s="1">
        <v>18</v>
      </c>
      <c r="B19" s="28" t="s">
        <v>190</v>
      </c>
      <c r="C19" s="27" t="s">
        <v>146</v>
      </c>
      <c r="D19" s="27" t="s">
        <v>81</v>
      </c>
    </row>
    <row r="20" spans="1:4" x14ac:dyDescent="0.4">
      <c r="A20" s="1">
        <v>19</v>
      </c>
      <c r="B20" s="28" t="s">
        <v>191</v>
      </c>
      <c r="C20" s="27" t="s">
        <v>91</v>
      </c>
      <c r="D20" s="27" t="s">
        <v>81</v>
      </c>
    </row>
    <row r="21" spans="1:4" x14ac:dyDescent="0.4">
      <c r="A21" s="1">
        <v>20</v>
      </c>
      <c r="B21" s="28" t="s">
        <v>12</v>
      </c>
      <c r="C21" s="27" t="s">
        <v>78</v>
      </c>
      <c r="D21" s="28" t="s">
        <v>79</v>
      </c>
    </row>
    <row r="22" spans="1:4" x14ac:dyDescent="0.4">
      <c r="A22" s="1">
        <v>21</v>
      </c>
      <c r="B22" s="28" t="s">
        <v>21</v>
      </c>
      <c r="C22" s="28" t="s">
        <v>80</v>
      </c>
      <c r="D22" s="28" t="s">
        <v>81</v>
      </c>
    </row>
    <row r="23" spans="1:4" x14ac:dyDescent="0.4">
      <c r="A23" s="1">
        <v>22</v>
      </c>
      <c r="B23" s="28" t="s">
        <v>37</v>
      </c>
      <c r="C23" s="27" t="s">
        <v>144</v>
      </c>
      <c r="D23" s="28" t="s">
        <v>81</v>
      </c>
    </row>
    <row r="24" spans="1:4" x14ac:dyDescent="0.4">
      <c r="A24" s="1">
        <v>23</v>
      </c>
      <c r="B24" s="28" t="s">
        <v>23</v>
      </c>
      <c r="C24" s="27" t="s">
        <v>82</v>
      </c>
      <c r="D24" s="62" t="s">
        <v>81</v>
      </c>
    </row>
    <row r="25" spans="1:4" x14ac:dyDescent="0.4">
      <c r="A25" s="1">
        <v>24</v>
      </c>
      <c r="B25" s="28" t="s">
        <v>87</v>
      </c>
      <c r="C25" s="27" t="s">
        <v>147</v>
      </c>
      <c r="D25" s="27" t="s">
        <v>81</v>
      </c>
    </row>
    <row r="26" spans="1:4" x14ac:dyDescent="0.4">
      <c r="A26" s="1">
        <v>25</v>
      </c>
      <c r="B26" s="28" t="s">
        <v>182</v>
      </c>
      <c r="C26" s="27" t="s">
        <v>192</v>
      </c>
      <c r="D26" s="27" t="s">
        <v>81</v>
      </c>
    </row>
    <row r="27" spans="1:4" x14ac:dyDescent="0.4">
      <c r="A27" s="1">
        <v>26</v>
      </c>
      <c r="B27" s="28" t="s">
        <v>109</v>
      </c>
      <c r="C27" s="27" t="s">
        <v>169</v>
      </c>
      <c r="D27" s="27" t="s">
        <v>81</v>
      </c>
    </row>
    <row r="28" spans="1:4" x14ac:dyDescent="0.4">
      <c r="A28" s="1">
        <v>27</v>
      </c>
      <c r="B28" s="28" t="s">
        <v>183</v>
      </c>
      <c r="C28" s="27" t="s">
        <v>195</v>
      </c>
      <c r="D28" s="28" t="s">
        <v>81</v>
      </c>
    </row>
    <row r="29" spans="1:4" x14ac:dyDescent="0.4">
      <c r="A29" s="1">
        <v>28</v>
      </c>
      <c r="B29" s="28" t="s">
        <v>184</v>
      </c>
      <c r="C29" s="27" t="s">
        <v>83</v>
      </c>
      <c r="D29" s="28" t="s">
        <v>81</v>
      </c>
    </row>
    <row r="30" spans="1:4" x14ac:dyDescent="0.4">
      <c r="A30" s="1">
        <v>29</v>
      </c>
      <c r="B30" s="28" t="s">
        <v>185</v>
      </c>
      <c r="C30" s="27" t="s">
        <v>84</v>
      </c>
      <c r="D30" s="28" t="s">
        <v>81</v>
      </c>
    </row>
    <row r="31" spans="1:4" x14ac:dyDescent="0.4">
      <c r="A31" s="1">
        <v>30</v>
      </c>
      <c r="B31" s="28" t="s">
        <v>186</v>
      </c>
      <c r="C31" s="27" t="s">
        <v>197</v>
      </c>
      <c r="D31" s="28" t="s">
        <v>81</v>
      </c>
    </row>
    <row r="32" spans="1:4" x14ac:dyDescent="0.4">
      <c r="A32" s="1">
        <v>31</v>
      </c>
      <c r="B32" s="28" t="s">
        <v>187</v>
      </c>
      <c r="C32" s="27" t="s">
        <v>85</v>
      </c>
      <c r="D32" s="28" t="s">
        <v>81</v>
      </c>
    </row>
    <row r="33" spans="1:4" x14ac:dyDescent="0.4">
      <c r="A33" s="1">
        <v>32</v>
      </c>
      <c r="B33" s="28" t="s">
        <v>188</v>
      </c>
      <c r="C33" s="27" t="s">
        <v>86</v>
      </c>
      <c r="D33" s="28" t="s">
        <v>81</v>
      </c>
    </row>
    <row r="34" spans="1:4" x14ac:dyDescent="0.4">
      <c r="A34" s="1">
        <v>33</v>
      </c>
      <c r="B34" s="28" t="s">
        <v>176</v>
      </c>
      <c r="C34" s="27" t="s">
        <v>177</v>
      </c>
      <c r="D34" s="28" t="s">
        <v>81</v>
      </c>
    </row>
    <row r="35" spans="1:4" x14ac:dyDescent="0.4">
      <c r="A35" s="1">
        <v>34</v>
      </c>
      <c r="B35" s="28" t="s">
        <v>189</v>
      </c>
      <c r="C35" s="27" t="s">
        <v>200</v>
      </c>
      <c r="D35" s="28" t="s">
        <v>81</v>
      </c>
    </row>
    <row r="36" spans="1:4" x14ac:dyDescent="0.4">
      <c r="A36" s="1">
        <v>45</v>
      </c>
      <c r="B36" s="28" t="s">
        <v>35</v>
      </c>
      <c r="C36" s="27" t="s">
        <v>139</v>
      </c>
      <c r="D36" s="28" t="s">
        <v>81</v>
      </c>
    </row>
    <row r="37" spans="1:4" x14ac:dyDescent="0.4">
      <c r="A37" s="1">
        <v>46</v>
      </c>
      <c r="B37" s="28" t="s">
        <v>36</v>
      </c>
      <c r="C37" s="28" t="s">
        <v>140</v>
      </c>
      <c r="D37" s="28" t="s">
        <v>81</v>
      </c>
    </row>
    <row r="38" spans="1:4" x14ac:dyDescent="0.4">
      <c r="A38" s="1">
        <v>47</v>
      </c>
      <c r="B38" s="28" t="s">
        <v>37</v>
      </c>
      <c r="C38" s="27" t="s">
        <v>144</v>
      </c>
      <c r="D38" s="62" t="s">
        <v>81</v>
      </c>
    </row>
    <row r="39" spans="1:4" x14ac:dyDescent="0.4">
      <c r="A39" s="1">
        <v>48</v>
      </c>
      <c r="B39" s="28" t="s">
        <v>32</v>
      </c>
      <c r="C39" s="27" t="s">
        <v>145</v>
      </c>
      <c r="D39" s="27" t="s">
        <v>81</v>
      </c>
    </row>
    <row r="40" spans="1:4" x14ac:dyDescent="0.4">
      <c r="A40" s="1">
        <v>49</v>
      </c>
      <c r="B40" s="28" t="s">
        <v>38</v>
      </c>
      <c r="C40" s="27" t="s">
        <v>82</v>
      </c>
      <c r="D40" s="27" t="s">
        <v>81</v>
      </c>
    </row>
    <row r="41" spans="1:4" x14ac:dyDescent="0.4">
      <c r="A41" s="1">
        <v>50</v>
      </c>
      <c r="B41" s="28" t="s">
        <v>39</v>
      </c>
      <c r="C41" s="27" t="s">
        <v>148</v>
      </c>
      <c r="D41" s="27" t="s">
        <v>81</v>
      </c>
    </row>
    <row r="42" spans="1:4" x14ac:dyDescent="0.4">
      <c r="A42" s="1">
        <v>51</v>
      </c>
      <c r="B42" s="28" t="s">
        <v>34</v>
      </c>
      <c r="C42" s="27" t="s">
        <v>149</v>
      </c>
      <c r="D42" s="28" t="s">
        <v>81</v>
      </c>
    </row>
    <row r="43" spans="1:4" x14ac:dyDescent="0.4">
      <c r="A43" s="1">
        <v>52</v>
      </c>
      <c r="B43" s="28" t="s">
        <v>40</v>
      </c>
      <c r="C43" s="27" t="s">
        <v>150</v>
      </c>
      <c r="D43" s="28" t="s">
        <v>151</v>
      </c>
    </row>
    <row r="44" spans="1:4" x14ac:dyDescent="0.4">
      <c r="A44" s="1">
        <v>53</v>
      </c>
      <c r="B44" s="28" t="s">
        <v>41</v>
      </c>
      <c r="C44" s="27" t="s">
        <v>152</v>
      </c>
      <c r="D44" s="28" t="s">
        <v>81</v>
      </c>
    </row>
    <row r="45" spans="1:4" x14ac:dyDescent="0.4">
      <c r="A45" s="1">
        <v>54</v>
      </c>
      <c r="B45" s="28" t="s">
        <v>42</v>
      </c>
      <c r="C45" s="27" t="s">
        <v>153</v>
      </c>
      <c r="D45" s="28" t="s">
        <v>81</v>
      </c>
    </row>
    <row r="46" spans="1:4" x14ac:dyDescent="0.4">
      <c r="A46" s="1">
        <v>55</v>
      </c>
      <c r="B46" s="28" t="s">
        <v>43</v>
      </c>
      <c r="C46" s="27" t="s">
        <v>141</v>
      </c>
      <c r="D46" s="28" t="s">
        <v>81</v>
      </c>
    </row>
    <row r="47" spans="1:4" x14ac:dyDescent="0.4">
      <c r="A47" s="1">
        <v>56</v>
      </c>
      <c r="B47" s="28" t="s">
        <v>44</v>
      </c>
      <c r="C47" s="27" t="s">
        <v>142</v>
      </c>
      <c r="D47" s="28" t="s">
        <v>81</v>
      </c>
    </row>
    <row r="48" spans="1:4" x14ac:dyDescent="0.4">
      <c r="A48" s="1">
        <v>57</v>
      </c>
      <c r="B48" s="28" t="s">
        <v>45</v>
      </c>
      <c r="C48" s="27" t="s">
        <v>154</v>
      </c>
      <c r="D48" s="28" t="s">
        <v>81</v>
      </c>
    </row>
    <row r="49" spans="1:4" x14ac:dyDescent="0.4">
      <c r="A49" s="1">
        <v>58</v>
      </c>
      <c r="B49" s="28" t="s">
        <v>46</v>
      </c>
      <c r="C49" s="27" t="s">
        <v>155</v>
      </c>
      <c r="D49" s="28" t="s">
        <v>81</v>
      </c>
    </row>
    <row r="50" spans="1:4" x14ac:dyDescent="0.4">
      <c r="A50" s="1">
        <v>59</v>
      </c>
      <c r="B50" s="28" t="s">
        <v>47</v>
      </c>
      <c r="C50" s="27" t="s">
        <v>156</v>
      </c>
      <c r="D50" s="28" t="s">
        <v>81</v>
      </c>
    </row>
    <row r="51" spans="1:4" x14ac:dyDescent="0.4">
      <c r="A51" s="1">
        <v>60</v>
      </c>
      <c r="B51" s="28" t="s">
        <v>48</v>
      </c>
      <c r="C51" s="27" t="s">
        <v>157</v>
      </c>
      <c r="D51" s="28" t="s">
        <v>81</v>
      </c>
    </row>
    <row r="52" spans="1:4" x14ac:dyDescent="0.4">
      <c r="A52" s="1">
        <v>61</v>
      </c>
      <c r="B52" s="28" t="s">
        <v>49</v>
      </c>
      <c r="C52" s="27" t="s">
        <v>158</v>
      </c>
      <c r="D52" s="28" t="s">
        <v>81</v>
      </c>
    </row>
    <row r="53" spans="1:4" x14ac:dyDescent="0.4">
      <c r="A53" s="1">
        <v>62</v>
      </c>
      <c r="B53" s="28" t="s">
        <v>50</v>
      </c>
      <c r="C53" s="27" t="s">
        <v>159</v>
      </c>
      <c r="D53" s="28" t="s">
        <v>81</v>
      </c>
    </row>
    <row r="54" spans="1:4" x14ac:dyDescent="0.4">
      <c r="A54" s="1">
        <v>63</v>
      </c>
      <c r="B54" s="28" t="s">
        <v>51</v>
      </c>
      <c r="C54" s="27" t="s">
        <v>160</v>
      </c>
      <c r="D54" s="28" t="s">
        <v>81</v>
      </c>
    </row>
    <row r="55" spans="1:4" x14ac:dyDescent="0.4">
      <c r="A55" s="1">
        <v>64</v>
      </c>
      <c r="B55" s="28" t="s">
        <v>52</v>
      </c>
      <c r="C55" s="27" t="s">
        <v>161</v>
      </c>
      <c r="D55" s="28" t="s">
        <v>81</v>
      </c>
    </row>
    <row r="56" spans="1:4" x14ac:dyDescent="0.4">
      <c r="A56" s="1">
        <v>65</v>
      </c>
      <c r="B56" s="28" t="s">
        <v>53</v>
      </c>
      <c r="C56" s="27" t="s">
        <v>162</v>
      </c>
      <c r="D56" s="28" t="s">
        <v>81</v>
      </c>
    </row>
    <row r="57" spans="1:4" x14ac:dyDescent="0.4">
      <c r="A57" s="1">
        <v>66</v>
      </c>
      <c r="B57" s="28" t="s">
        <v>54</v>
      </c>
      <c r="C57" s="27" t="s">
        <v>163</v>
      </c>
      <c r="D57" s="28" t="s">
        <v>81</v>
      </c>
    </row>
    <row r="58" spans="1:4" x14ac:dyDescent="0.4">
      <c r="A58" s="1">
        <v>67</v>
      </c>
      <c r="B58" s="28" t="s">
        <v>55</v>
      </c>
      <c r="C58" s="27" t="s">
        <v>164</v>
      </c>
      <c r="D58" s="28" t="s">
        <v>81</v>
      </c>
    </row>
    <row r="59" spans="1:4" x14ac:dyDescent="0.4">
      <c r="A59" s="1">
        <v>68</v>
      </c>
      <c r="B59" s="28" t="s">
        <v>56</v>
      </c>
      <c r="C59" s="27" t="s">
        <v>165</v>
      </c>
      <c r="D59" s="28" t="s">
        <v>81</v>
      </c>
    </row>
    <row r="60" spans="1:4" x14ac:dyDescent="0.4">
      <c r="A60" s="1">
        <v>69</v>
      </c>
      <c r="B60" s="28" t="s">
        <v>57</v>
      </c>
      <c r="C60" s="27" t="s">
        <v>166</v>
      </c>
      <c r="D60" s="28" t="s">
        <v>81</v>
      </c>
    </row>
    <row r="61" spans="1:4" x14ac:dyDescent="0.4">
      <c r="A61" s="1">
        <v>70</v>
      </c>
      <c r="B61" s="28" t="s">
        <v>39</v>
      </c>
      <c r="C61" s="27" t="s">
        <v>148</v>
      </c>
      <c r="D61" s="28" t="s">
        <v>81</v>
      </c>
    </row>
    <row r="62" spans="1:4" x14ac:dyDescent="0.4">
      <c r="A62" s="1">
        <v>71</v>
      </c>
      <c r="B62" s="28" t="s">
        <v>37</v>
      </c>
      <c r="C62" s="28" t="s">
        <v>144</v>
      </c>
      <c r="D62" s="28" t="s">
        <v>81</v>
      </c>
    </row>
    <row r="63" spans="1:4" x14ac:dyDescent="0.4">
      <c r="A63" s="1">
        <v>72</v>
      </c>
      <c r="B63" s="28" t="s">
        <v>38</v>
      </c>
      <c r="C63" s="27" t="s">
        <v>82</v>
      </c>
      <c r="D63" s="62" t="s">
        <v>81</v>
      </c>
    </row>
    <row r="64" spans="1:4" x14ac:dyDescent="0.4">
      <c r="A64" s="1">
        <v>73</v>
      </c>
      <c r="B64" s="28" t="s">
        <v>105</v>
      </c>
      <c r="C64" s="27" t="s">
        <v>149</v>
      </c>
      <c r="D64" s="27" t="s">
        <v>81</v>
      </c>
    </row>
    <row r="65" spans="1:4" x14ac:dyDescent="0.4">
      <c r="A65" s="1">
        <v>74</v>
      </c>
      <c r="B65" s="28" t="s">
        <v>106</v>
      </c>
      <c r="C65" s="27" t="s">
        <v>150</v>
      </c>
      <c r="D65" s="27" t="s">
        <v>151</v>
      </c>
    </row>
    <row r="66" spans="1:4" x14ac:dyDescent="0.4">
      <c r="A66" s="1">
        <v>75</v>
      </c>
      <c r="B66" s="28" t="s">
        <v>107</v>
      </c>
      <c r="C66" s="27" t="s">
        <v>167</v>
      </c>
      <c r="D66" s="27" t="s">
        <v>81</v>
      </c>
    </row>
    <row r="67" spans="1:4" x14ac:dyDescent="0.4">
      <c r="A67" s="1">
        <v>76</v>
      </c>
      <c r="B67" s="28" t="s">
        <v>108</v>
      </c>
      <c r="C67" s="27" t="s">
        <v>168</v>
      </c>
      <c r="D67" s="28" t="s">
        <v>81</v>
      </c>
    </row>
    <row r="68" spans="1:4" x14ac:dyDescent="0.4">
      <c r="A68" s="1">
        <v>77</v>
      </c>
      <c r="B68" s="28" t="s">
        <v>109</v>
      </c>
      <c r="C68" s="27" t="s">
        <v>169</v>
      </c>
      <c r="D68" s="28" t="s">
        <v>81</v>
      </c>
    </row>
    <row r="69" spans="1:4" x14ac:dyDescent="0.4">
      <c r="A69" s="1">
        <v>78</v>
      </c>
      <c r="B69" s="28" t="s">
        <v>39</v>
      </c>
      <c r="C69" s="27" t="s">
        <v>148</v>
      </c>
      <c r="D69" s="28" t="s">
        <v>81</v>
      </c>
    </row>
    <row r="70" spans="1:4" x14ac:dyDescent="0.4">
      <c r="A70" s="1">
        <v>79</v>
      </c>
      <c r="B70" s="28" t="s">
        <v>106</v>
      </c>
      <c r="C70" s="28" t="s">
        <v>150</v>
      </c>
      <c r="D70" s="28" t="s">
        <v>151</v>
      </c>
    </row>
    <row r="71" spans="1:4" x14ac:dyDescent="0.4">
      <c r="A71" s="1">
        <v>80</v>
      </c>
      <c r="B71" s="28" t="s">
        <v>170</v>
      </c>
      <c r="C71" s="27" t="s">
        <v>171</v>
      </c>
      <c r="D71" s="62" t="s">
        <v>81</v>
      </c>
    </row>
    <row r="72" spans="1:4" x14ac:dyDescent="0.4">
      <c r="A72" s="1">
        <v>81</v>
      </c>
      <c r="B72" s="28" t="s">
        <v>172</v>
      </c>
      <c r="C72" s="27" t="s">
        <v>173</v>
      </c>
      <c r="D72" s="27" t="s">
        <v>81</v>
      </c>
    </row>
    <row r="73" spans="1:4" x14ac:dyDescent="0.4">
      <c r="A73" s="1">
        <v>82</v>
      </c>
      <c r="B73" s="28" t="s">
        <v>174</v>
      </c>
      <c r="C73" s="27" t="s">
        <v>175</v>
      </c>
      <c r="D73" s="27" t="s">
        <v>81</v>
      </c>
    </row>
    <row r="74" spans="1:4" x14ac:dyDescent="0.4">
      <c r="A74" s="1">
        <v>83</v>
      </c>
      <c r="B74" s="28" t="s">
        <v>176</v>
      </c>
      <c r="C74" s="27" t="s">
        <v>177</v>
      </c>
      <c r="D74" s="27" t="s">
        <v>81</v>
      </c>
    </row>
    <row r="75" spans="1:4" x14ac:dyDescent="0.4">
      <c r="A75" s="1">
        <v>84</v>
      </c>
      <c r="B75" s="28" t="s">
        <v>178</v>
      </c>
      <c r="C75" s="27" t="s">
        <v>179</v>
      </c>
      <c r="D75" s="28" t="s">
        <v>81</v>
      </c>
    </row>
  </sheetData>
  <autoFilter ref="A1:D1" xr:uid="{833D5792-DD07-47ED-AE06-F33D65F3AE15}">
    <sortState xmlns:xlrd2="http://schemas.microsoft.com/office/spreadsheetml/2017/richdata2" ref="A2:D85">
      <sortCondition ref="A1"/>
    </sortState>
  </autoFilter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6A4C52A01CEBFF40AE45D10DA927A547" ma:contentTypeVersion="11" ma:contentTypeDescription="新しいドキュメントを作成します。" ma:contentTypeScope="" ma:versionID="a7c1874bdb6a634514ff32b93ed330be">
  <xsd:schema xmlns:xsd="http://www.w3.org/2001/XMLSchema" xmlns:xs="http://www.w3.org/2001/XMLSchema" xmlns:p="http://schemas.microsoft.com/office/2006/metadata/properties" xmlns:ns2="b5c37a85-733b-43ca-bcfb-a65fb0b4108a" xmlns:ns3="c8b0e60a-39fc-4745-abaa-4e95a5ee6b11" targetNamespace="http://schemas.microsoft.com/office/2006/metadata/properties" ma:root="true" ma:fieldsID="0951b501b23ee8b01ac0aca4dab0f9cf" ns2:_="" ns3:_="">
    <xsd:import namespace="b5c37a85-733b-43ca-bcfb-a65fb0b4108a"/>
    <xsd:import namespace="c8b0e60a-39fc-4745-abaa-4e95a5ee6b1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c37a85-733b-43ca-bcfb-a65fb0b410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c1df4d3c-c4e6-4899-bdf0-e43e9c10e6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b0e60a-39fc-4745-abaa-4e95a5ee6b1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f552ab2-b0c2-4fb4-8523-feac73e70c20}" ma:internalName="TaxCatchAll" ma:showField="CatchAllData" ma:web="c8b0e60a-39fc-4745-abaa-4e95a5ee6b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8b0e60a-39fc-4745-abaa-4e95a5ee6b11" xsi:nil="true"/>
    <lcf76f155ced4ddcb4097134ff3c332f xmlns="b5c37a85-733b-43ca-bcfb-a65fb0b4108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DFF54BC-71FC-443D-88A8-D7C8B1A47539}"/>
</file>

<file path=customXml/itemProps2.xml><?xml version="1.0" encoding="utf-8"?>
<ds:datastoreItem xmlns:ds="http://schemas.openxmlformats.org/officeDocument/2006/customXml" ds:itemID="{10DC1E8F-515B-42D1-BD34-867A92FF9E8E}"/>
</file>

<file path=customXml/itemProps3.xml><?xml version="1.0" encoding="utf-8"?>
<ds:datastoreItem xmlns:ds="http://schemas.openxmlformats.org/officeDocument/2006/customXml" ds:itemID="{E7C68E0C-B8DB-4ECA-8247-F6F301949E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11</vt:i4>
      </vt:variant>
    </vt:vector>
  </HeadingPairs>
  <TitlesOfParts>
    <vt:vector size="11" baseType="lpstr">
      <vt:lpstr>DWHTB一覧</vt:lpstr>
      <vt:lpstr>ライン一覧マスタ</vt:lpstr>
      <vt:lpstr>停止要因マスタ</vt:lpstr>
      <vt:lpstr>cavマスタ</vt:lpstr>
      <vt:lpstr>SUPPLIERマスタ</vt:lpstr>
      <vt:lpstr>STOP_LOG</vt:lpstr>
      <vt:lpstr>PROD_LOG</vt:lpstr>
      <vt:lpstr>数値検査_LOG</vt:lpstr>
      <vt:lpstr>品質記録_ヘッダ_LOG</vt:lpstr>
      <vt:lpstr>品質記録_不良数_LOG</vt:lpstr>
      <vt:lpstr>カラム一覧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TANAKA Takahito(田中 登仁)</dc:creator>
  <cp:lastModifiedBy>登仁 田中</cp:lastModifiedBy>
  <dcterms:created xsi:type="dcterms:W3CDTF">2020-04-03T01:08:04Z</dcterms:created>
  <dcterms:modified xsi:type="dcterms:W3CDTF">2025-01-08T07:41:33Z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0x0101006A4C52A01CEBFF40AE45D10DA927A547</vt:lpwstr>
  </property>
</Properties>
</file>