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00_案件/20250201_PBI設計書作成/050_設計/全社用/"/>
    </mc:Choice>
  </mc:AlternateContent>
  <xr:revisionPtr revIDLastSave="1994" documentId="13_ncr:1_{5F43FC22-8DF3-40F8-A370-ADE5A563D385}" xr6:coauthVersionLast="47" xr6:coauthVersionMax="47" xr10:uidLastSave="{F6987F0E-C295-4DE1-9257-BFEA5C7A5BA9}"/>
  <bookViews>
    <workbookView xWindow="-98" yWindow="-98" windowWidth="21795" windowHeight="12975" tabRatio="832" xr2:uid="{00000000-000D-0000-FFFF-FFFF00000000}"/>
  </bookViews>
  <sheets>
    <sheet name="説明" sheetId="16" r:id="rId1"/>
    <sheet name="全体概要" sheetId="18" r:id="rId2"/>
    <sheet name="TB一覧" sheetId="13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4" l="1"/>
  <c r="A19" i="14" s="1"/>
  <c r="C2" i="14"/>
  <c r="B2" i="14"/>
  <c r="A30" i="14" l="1"/>
  <c r="A61" i="14" s="1"/>
  <c r="A93" i="14" s="1"/>
  <c r="A125" i="14" s="1"/>
  <c r="C125" i="14" s="1"/>
  <c r="C19" i="14"/>
  <c r="B19" i="14"/>
  <c r="B10" i="14"/>
  <c r="C10" i="14"/>
  <c r="B125" i="14" l="1"/>
  <c r="B93" i="14"/>
  <c r="C93" i="14"/>
  <c r="C61" i="14"/>
  <c r="B61" i="14"/>
  <c r="C30" i="14"/>
  <c r="B30" i="14"/>
</calcChain>
</file>

<file path=xl/sharedStrings.xml><?xml version="1.0" encoding="utf-8"?>
<sst xmlns="http://schemas.openxmlformats.org/spreadsheetml/2006/main" count="748" uniqueCount="172">
  <si>
    <t>全体概要</t>
    <rPh sb="0" eb="2">
      <t>ゼンタイ</t>
    </rPh>
    <rPh sb="2" eb="4">
      <t>ガイヨウ</t>
    </rPh>
    <phoneticPr fontId="1"/>
  </si>
  <si>
    <t>◆全体概要図</t>
    <rPh sb="1" eb="5">
      <t>ゼンタイガイヨウ</t>
    </rPh>
    <rPh sb="5" eb="6">
      <t>ズ</t>
    </rPh>
    <phoneticPr fontId="1"/>
  </si>
  <si>
    <t>PowerQuery</t>
    <phoneticPr fontId="1"/>
  </si>
  <si>
    <t>◆リレーション</t>
    <phoneticPr fontId="1"/>
  </si>
  <si>
    <t>No</t>
    <phoneticPr fontId="1"/>
  </si>
  <si>
    <t>画面名称</t>
    <rPh sb="0" eb="2">
      <t>ガメン</t>
    </rPh>
    <rPh sb="2" eb="4">
      <t>メイショウ</t>
    </rPh>
    <phoneticPr fontId="1"/>
  </si>
  <si>
    <t>TB一覧</t>
    <rPh sb="2" eb="4">
      <t>イチラン</t>
    </rPh>
    <phoneticPr fontId="1"/>
  </si>
  <si>
    <t>TB名</t>
    <rPh sb="2" eb="3">
      <t>メイ</t>
    </rPh>
    <phoneticPr fontId="1"/>
  </si>
  <si>
    <t>備考</t>
    <rPh sb="0" eb="2">
      <t>ビコウ</t>
    </rPh>
    <phoneticPr fontId="1"/>
  </si>
  <si>
    <t>M01</t>
    <phoneticPr fontId="1"/>
  </si>
  <si>
    <t>mst_ライン一覧</t>
    <rPh sb="7" eb="9">
      <t>イチラン</t>
    </rPh>
    <phoneticPr fontId="1"/>
  </si>
  <si>
    <t>設備PFマスタ</t>
    <rPh sb="0" eb="2">
      <t>セツビ</t>
    </rPh>
    <phoneticPr fontId="1"/>
  </si>
  <si>
    <t>M02</t>
  </si>
  <si>
    <t>T01</t>
    <phoneticPr fontId="1"/>
  </si>
  <si>
    <t>T02</t>
    <phoneticPr fontId="1"/>
  </si>
  <si>
    <t>TB定義</t>
    <rPh sb="2" eb="4">
      <t>テイギ</t>
    </rPh>
    <phoneticPr fontId="1"/>
  </si>
  <si>
    <t>作成TB</t>
    <rPh sb="0" eb="2">
      <t>サクセイ</t>
    </rPh>
    <phoneticPr fontId="1"/>
  </si>
  <si>
    <t>ソース</t>
    <phoneticPr fontId="1"/>
  </si>
  <si>
    <t>作成箇所</t>
    <rPh sb="0" eb="2">
      <t>サクセイ</t>
    </rPh>
    <rPh sb="2" eb="4">
      <t>カショ</t>
    </rPh>
    <phoneticPr fontId="1"/>
  </si>
  <si>
    <t>項目名</t>
    <rPh sb="0" eb="3">
      <t>コウモクメイ</t>
    </rPh>
    <phoneticPr fontId="1"/>
  </si>
  <si>
    <t>ソース名</t>
    <rPh sb="3" eb="4">
      <t>メイ</t>
    </rPh>
    <phoneticPr fontId="1"/>
  </si>
  <si>
    <t>計算式</t>
    <rPh sb="0" eb="3">
      <t>ケイサンシキ</t>
    </rPh>
    <phoneticPr fontId="1"/>
  </si>
  <si>
    <t>PQ</t>
    <phoneticPr fontId="1"/>
  </si>
  <si>
    <t>Location</t>
    <phoneticPr fontId="1"/>
  </si>
  <si>
    <t>設備PFマスタ.xlsx</t>
    <phoneticPr fontId="1"/>
  </si>
  <si>
    <t>ラインNo</t>
  </si>
  <si>
    <t>PF名</t>
  </si>
  <si>
    <t>製品型</t>
    <rPh sb="0" eb="3">
      <t>セイヒンガタ</t>
    </rPh>
    <phoneticPr fontId="1"/>
  </si>
  <si>
    <t>-</t>
    <phoneticPr fontId="1"/>
  </si>
  <si>
    <t>DAX</t>
    <phoneticPr fontId="1"/>
  </si>
  <si>
    <t>名称</t>
    <rPh sb="0" eb="2">
      <t>メイショウ</t>
    </rPh>
    <phoneticPr fontId="1"/>
  </si>
  <si>
    <t>説明</t>
    <rPh sb="0" eb="2">
      <t>セツメイ</t>
    </rPh>
    <phoneticPr fontId="1"/>
  </si>
  <si>
    <t>分類</t>
    <rPh sb="0" eb="2">
      <t>ブンルイ</t>
    </rPh>
    <phoneticPr fontId="1"/>
  </si>
  <si>
    <t>■特記事項</t>
    <rPh sb="1" eb="5">
      <t>トッキジコウ</t>
    </rPh>
    <phoneticPr fontId="1"/>
  </si>
  <si>
    <t>■レポートの用途</t>
    <rPh sb="6" eb="8">
      <t>ヨウト</t>
    </rPh>
    <phoneticPr fontId="1"/>
  </si>
  <si>
    <t>ラインごとの稼働状況や生産数を確認するためのレポート</t>
    <rPh sb="6" eb="10">
      <t>カドウジョウキョウ</t>
    </rPh>
    <rPh sb="11" eb="13">
      <t>セイサン</t>
    </rPh>
    <rPh sb="13" eb="14">
      <t>スウ</t>
    </rPh>
    <rPh sb="15" eb="17">
      <t>カクニン</t>
    </rPh>
    <phoneticPr fontId="1"/>
  </si>
  <si>
    <t>最終データ更新日時</t>
    <rPh sb="0" eb="2">
      <t>サイシュウ</t>
    </rPh>
    <rPh sb="5" eb="8">
      <t>コウシンビ</t>
    </rPh>
    <phoneticPr fontId="1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</si>
  <si>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1"/>
  </si>
  <si>
    <t>■画面一覧</t>
    <rPh sb="1" eb="5">
      <t>ガメンイチラン</t>
    </rPh>
    <phoneticPr fontId="1"/>
  </si>
  <si>
    <t>■画面説明</t>
    <rPh sb="1" eb="5">
      <t>ガメンセツメイ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</si>
  <si>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</si>
  <si>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</si>
  <si>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全ライン_生産数/計画数</t>
  </si>
  <si>
    <t>DAX、メジャー</t>
    <phoneticPr fontId="1"/>
  </si>
  <si>
    <t>M03</t>
    <phoneticPr fontId="1"/>
  </si>
  <si>
    <t>手配先名</t>
  </si>
  <si>
    <t>手配先名</t>
    <rPh sb="0" eb="4">
      <t>テハイサキメイ</t>
    </rPh>
    <phoneticPr fontId="1"/>
  </si>
  <si>
    <t>全ライン_稼働状況</t>
  </si>
  <si>
    <t>選択した月で稼働状況を抽出可能</t>
    <rPh sb="0" eb="2">
      <t>センタク</t>
    </rPh>
    <rPh sb="4" eb="5">
      <t>ツキ</t>
    </rPh>
    <rPh sb="6" eb="8">
      <t>カドウ</t>
    </rPh>
    <rPh sb="8" eb="10">
      <t>ジョウキョウ</t>
    </rPh>
    <rPh sb="11" eb="15">
      <t>チュウシュツカノウ</t>
    </rPh>
    <phoneticPr fontId="1"/>
  </si>
  <si>
    <t>各項目Xbar-R管理図</t>
    <phoneticPr fontId="1"/>
  </si>
  <si>
    <t>各項目ヒストグラム</t>
    <phoneticPr fontId="1"/>
  </si>
  <si>
    <t>cav</t>
    <phoneticPr fontId="1"/>
  </si>
  <si>
    <t>測定箇所名</t>
  </si>
  <si>
    <t>測定箇所名</t>
    <rPh sb="0" eb="5">
      <t>ソクテイカショメイ</t>
    </rPh>
    <phoneticPr fontId="1"/>
  </si>
  <si>
    <t>品名詳細データ</t>
    <rPh sb="0" eb="4">
      <t>ヒンメイショウサイ</t>
    </rPh>
    <phoneticPr fontId="1"/>
  </si>
  <si>
    <t>Xbar</t>
    <phoneticPr fontId="1"/>
  </si>
  <si>
    <t>Range</t>
    <phoneticPr fontId="1"/>
  </si>
  <si>
    <t>選択したcavで稼働状況を抽出可能</t>
    <rPh sb="0" eb="2">
      <t>センタク</t>
    </rPh>
    <rPh sb="8" eb="10">
      <t>カドウ</t>
    </rPh>
    <rPh sb="10" eb="12">
      <t>ジョウキョウ</t>
    </rPh>
    <rPh sb="13" eb="15">
      <t>チュウシュツ</t>
    </rPh>
    <rPh sb="15" eb="17">
      <t>カノウ</t>
    </rPh>
    <phoneticPr fontId="1"/>
  </si>
  <si>
    <t>選択した測定箇所名で他レポートを抽出可能（単一選択）</t>
    <rPh sb="0" eb="2">
      <t>センタク</t>
    </rPh>
    <rPh sb="4" eb="9">
      <t>ソクテイカショメイ</t>
    </rPh>
    <rPh sb="10" eb="11">
      <t>ホカ</t>
    </rPh>
    <rPh sb="16" eb="18">
      <t>チュウシュツ</t>
    </rPh>
    <rPh sb="18" eb="20">
      <t>カノウ</t>
    </rPh>
    <rPh sb="21" eb="23">
      <t>タンイツ</t>
    </rPh>
    <rPh sb="23" eb="25">
      <t>センタク</t>
    </rPh>
    <phoneticPr fontId="1"/>
  </si>
  <si>
    <t>品名</t>
  </si>
  <si>
    <t>品名</t>
    <rPh sb="0" eb="2">
      <t>ヒンメイ</t>
    </rPh>
    <phoneticPr fontId="1"/>
  </si>
  <si>
    <t>選択した品名で他レポートを抽出可能（単一選択）</t>
    <rPh sb="0" eb="2">
      <t>センタク</t>
    </rPh>
    <rPh sb="4" eb="6">
      <t>ヒンメイ</t>
    </rPh>
    <rPh sb="7" eb="8">
      <t>ホカ</t>
    </rPh>
    <rPh sb="13" eb="15">
      <t>チュウシュツ</t>
    </rPh>
    <rPh sb="15" eb="17">
      <t>カノウ</t>
    </rPh>
    <rPh sb="18" eb="20">
      <t>タンイツ</t>
    </rPh>
    <rPh sb="20" eb="22">
      <t>センタク</t>
    </rPh>
    <phoneticPr fontId="1"/>
  </si>
  <si>
    <t>品名詳細データを表示</t>
    <rPh sb="0" eb="4">
      <t>ヒンメイショウサイ</t>
    </rPh>
    <rPh sb="8" eb="10">
      <t>ヒョウジ</t>
    </rPh>
    <phoneticPr fontId="1"/>
  </si>
  <si>
    <t>測定箇所名/品名ごとのXbarを表示</t>
    <rPh sb="0" eb="5">
      <t>ソクテイカショメイ</t>
    </rPh>
    <rPh sb="6" eb="8">
      <t>ヒンメイ</t>
    </rPh>
    <rPh sb="16" eb="18">
      <t>ヒョウジ</t>
    </rPh>
    <phoneticPr fontId="1"/>
  </si>
  <si>
    <t>測定箇所名/品名ごとのRangeを表示</t>
    <rPh sb="0" eb="5">
      <t>ソクテイカショメイ</t>
    </rPh>
    <rPh sb="6" eb="8">
      <t>ヒンメイ</t>
    </rPh>
    <rPh sb="17" eb="19">
      <t>ヒョウジ</t>
    </rPh>
    <phoneticPr fontId="1"/>
  </si>
  <si>
    <t>全社用_寸法検査の説明</t>
    <rPh sb="0" eb="2">
      <t>ゼンシャ</t>
    </rPh>
    <rPh sb="2" eb="3">
      <t>ヨウ</t>
    </rPh>
    <rPh sb="4" eb="8">
      <t>スンポウケンサ</t>
    </rPh>
    <rPh sb="9" eb="11">
      <t>セツメイ</t>
    </rPh>
    <phoneticPr fontId="1"/>
  </si>
  <si>
    <t>着手_月</t>
    <rPh sb="0" eb="2">
      <t>チャクシュ</t>
    </rPh>
    <rPh sb="3" eb="4">
      <t>ツキ</t>
    </rPh>
    <phoneticPr fontId="1"/>
  </si>
  <si>
    <t>選択した測定箇所名で他レポートを抽出可能</t>
    <rPh sb="0" eb="2">
      <t>センタク</t>
    </rPh>
    <rPh sb="4" eb="9">
      <t>ソクテイカショメイ</t>
    </rPh>
    <rPh sb="10" eb="11">
      <t>ホカ</t>
    </rPh>
    <rPh sb="16" eb="18">
      <t>チュウシュツ</t>
    </rPh>
    <rPh sb="18" eb="20">
      <t>カノウ</t>
    </rPh>
    <phoneticPr fontId="1"/>
  </si>
  <si>
    <t>選択した品名で他レポートを抽出可能</t>
    <rPh sb="0" eb="2">
      <t>センタク</t>
    </rPh>
    <rPh sb="4" eb="6">
      <t>ヒンメイ</t>
    </rPh>
    <rPh sb="7" eb="8">
      <t>ホカ</t>
    </rPh>
    <rPh sb="13" eb="15">
      <t>チュウシュツ</t>
    </rPh>
    <rPh sb="15" eb="17">
      <t>カノウ</t>
    </rPh>
    <phoneticPr fontId="1"/>
  </si>
  <si>
    <t>品名/ラインNo詳細データ</t>
    <rPh sb="0" eb="2">
      <t>ヒンメイ</t>
    </rPh>
    <rPh sb="8" eb="10">
      <t>ショウサイ</t>
    </rPh>
    <phoneticPr fontId="1"/>
  </si>
  <si>
    <t>品名/cav詳細データ</t>
  </si>
  <si>
    <t>測定値ヒストグラム</t>
  </si>
  <si>
    <t>品名/ラインNo詳細データを表示</t>
    <rPh sb="0" eb="2">
      <t>ヒンメイ</t>
    </rPh>
    <rPh sb="8" eb="10">
      <t>ショウサイ</t>
    </rPh>
    <rPh sb="14" eb="16">
      <t>ヒョウジ</t>
    </rPh>
    <phoneticPr fontId="1"/>
  </si>
  <si>
    <t>品名/cav詳細データを表示</t>
    <rPh sb="0" eb="2">
      <t>ヒンメイ</t>
    </rPh>
    <rPh sb="6" eb="8">
      <t>ショウサイ</t>
    </rPh>
    <rPh sb="12" eb="14">
      <t>ヒョウジ</t>
    </rPh>
    <phoneticPr fontId="1"/>
  </si>
  <si>
    <t>測定箇所名/品名ごとの測定値ヒストグラムを表示</t>
    <rPh sb="0" eb="5">
      <t>ソクテイカショメイ</t>
    </rPh>
    <rPh sb="6" eb="8">
      <t>ヒンメイ</t>
    </rPh>
    <rPh sb="11" eb="14">
      <t>ソクテイチ</t>
    </rPh>
    <rPh sb="21" eb="23">
      <t>ヒョウジ</t>
    </rPh>
    <phoneticPr fontId="1"/>
  </si>
  <si>
    <t>メジャー</t>
    <phoneticPr fontId="1"/>
  </si>
  <si>
    <t>CP</t>
    <phoneticPr fontId="1"/>
  </si>
  <si>
    <t>CP1</t>
    <phoneticPr fontId="7"/>
  </si>
  <si>
    <t>CP2</t>
    <phoneticPr fontId="7"/>
  </si>
  <si>
    <t>CPK</t>
    <phoneticPr fontId="1"/>
  </si>
  <si>
    <t>Max</t>
    <phoneticPr fontId="1"/>
  </si>
  <si>
    <t>Min</t>
    <phoneticPr fontId="1"/>
  </si>
  <si>
    <t>Range</t>
    <phoneticPr fontId="1"/>
  </si>
  <si>
    <t>Xbar</t>
    <phoneticPr fontId="1"/>
  </si>
  <si>
    <t>σ</t>
    <phoneticPr fontId="1"/>
  </si>
  <si>
    <t>mst_cav一覧</t>
    <rPh sb="7" eb="9">
      <t>イチラン</t>
    </rPh>
    <phoneticPr fontId="1"/>
  </si>
  <si>
    <t>日付</t>
    <rPh sb="0" eb="2">
      <t>ヒヅケ</t>
    </rPh>
    <phoneticPr fontId="1"/>
  </si>
  <si>
    <t>cav情報_work</t>
  </si>
  <si>
    <t>cav情報_work</t>
    <phoneticPr fontId="1"/>
  </si>
  <si>
    <t>T03</t>
  </si>
  <si>
    <t>T04</t>
  </si>
  <si>
    <t>cav情報</t>
    <phoneticPr fontId="1"/>
  </si>
  <si>
    <t>数値検査_LOG_work</t>
  </si>
  <si>
    <t>数値検査_LOG_work</t>
    <phoneticPr fontId="1"/>
  </si>
  <si>
    <t>数値検査_LOG</t>
    <phoneticPr fontId="1"/>
  </si>
  <si>
    <t>CALENDARAUTO()で作成した日付マスタ</t>
    <rPh sb="15" eb="17">
      <t>サクセイ</t>
    </rPh>
    <rPh sb="19" eb="21">
      <t>ヒヅケ</t>
    </rPh>
    <phoneticPr fontId="1"/>
  </si>
  <si>
    <t>cav一覧マスタ</t>
    <rPh sb="3" eb="5">
      <t>イチラン</t>
    </rPh>
    <phoneticPr fontId="1"/>
  </si>
  <si>
    <t>cav情報を作成するための中間テーブル</t>
    <rPh sb="3" eb="5">
      <t>ジョウホウ</t>
    </rPh>
    <rPh sb="6" eb="8">
      <t>サクセイ</t>
    </rPh>
    <rPh sb="13" eb="15">
      <t>チュウカン</t>
    </rPh>
    <phoneticPr fontId="1"/>
  </si>
  <si>
    <t>cav情報</t>
    <rPh sb="3" eb="5">
      <t>ジョウホウ</t>
    </rPh>
    <phoneticPr fontId="1"/>
  </si>
  <si>
    <t>数値検査_LOGを作成するための中間テーブル</t>
    <rPh sb="0" eb="2">
      <t>スウチ</t>
    </rPh>
    <rPh sb="2" eb="4">
      <t>ケンサ</t>
    </rPh>
    <rPh sb="9" eb="11">
      <t>サクセイ</t>
    </rPh>
    <rPh sb="16" eb="18">
      <t>チュウカン</t>
    </rPh>
    <phoneticPr fontId="1"/>
  </si>
  <si>
    <t>数値検査_LOG</t>
    <rPh sb="0" eb="2">
      <t>スウチ</t>
    </rPh>
    <rPh sb="2" eb="4">
      <t>ケンサ</t>
    </rPh>
    <phoneticPr fontId="1"/>
  </si>
  <si>
    <t>cav情報マスタ.xlsx</t>
    <rPh sb="3" eb="5">
      <t>ジョウホウ</t>
    </rPh>
    <phoneticPr fontId="1"/>
  </si>
  <si>
    <t>チェックシートSEQ</t>
  </si>
  <si>
    <t>チェックシート帳票名</t>
  </si>
  <si>
    <t>測定箇所SEQ</t>
  </si>
  <si>
    <t>データID</t>
  </si>
  <si>
    <t>Date</t>
  </si>
  <si>
    <t>日付 = CALENDARAUTO()</t>
    <phoneticPr fontId="1"/>
  </si>
  <si>
    <t>年</t>
    <rPh sb="0" eb="1">
      <t>ネン</t>
    </rPh>
    <phoneticPr fontId="1"/>
  </si>
  <si>
    <t>月</t>
    <rPh sb="0" eb="1">
      <t>ゲツ</t>
    </rPh>
    <phoneticPr fontId="1"/>
  </si>
  <si>
    <t>番号</t>
    <rPh sb="0" eb="2">
      <t>バンゴウ</t>
    </rPh>
    <phoneticPr fontId="1"/>
  </si>
  <si>
    <t>週番号</t>
    <rPh sb="0" eb="3">
      <t>シュウバンゴウ</t>
    </rPh>
    <phoneticPr fontId="1"/>
  </si>
  <si>
    <t>年 = year('日付'[Date])</t>
    <phoneticPr fontId="1"/>
  </si>
  <si>
    <t>月 = format('日付'[Date],"M月")</t>
    <phoneticPr fontId="1"/>
  </si>
  <si>
    <t>日 = format('日付'[Date],"D")</t>
    <phoneticPr fontId="1"/>
  </si>
  <si>
    <t>番号 = format('日付'[Date],"MM")</t>
    <phoneticPr fontId="1"/>
  </si>
  <si>
    <t>週番号 = WEEKNUM('日付'[Date],2)</t>
    <phoneticPr fontId="1"/>
  </si>
  <si>
    <t>着手_月 = format('日付'[Date],"M")</t>
    <phoneticPr fontId="1"/>
  </si>
  <si>
    <t>測定値</t>
  </si>
  <si>
    <t>測定値_NCB.xlsx</t>
    <rPh sb="0" eb="3">
      <t>ソクテイチ</t>
    </rPh>
    <phoneticPr fontId="1"/>
  </si>
  <si>
    <t>Source.Name</t>
    <phoneticPr fontId="1"/>
  </si>
  <si>
    <t>ファイル名</t>
    <rPh sb="4" eb="5">
      <t>メイ</t>
    </rPh>
    <phoneticPr fontId="1"/>
  </si>
  <si>
    <t>手配先コード</t>
  </si>
  <si>
    <t>ラインNo.</t>
  </si>
  <si>
    <t>製造書指示番号</t>
  </si>
  <si>
    <t>ロットNo</t>
  </si>
  <si>
    <t>着手日</t>
  </si>
  <si>
    <t>品目コード</t>
  </si>
  <si>
    <t>検査タイプ</t>
  </si>
  <si>
    <t>検査工程名</t>
  </si>
  <si>
    <t>Ｎ数</t>
  </si>
  <si>
    <t>基準</t>
  </si>
  <si>
    <t>上限</t>
  </si>
  <si>
    <t>下限</t>
  </si>
  <si>
    <t>XBAR_CL</t>
  </si>
  <si>
    <t>XBAR_UCL</t>
  </si>
  <si>
    <t>XBAR_LCL</t>
  </si>
  <si>
    <t>R_CL</t>
  </si>
  <si>
    <t>R_UCL</t>
  </si>
  <si>
    <t>R_LCL</t>
  </si>
  <si>
    <t>データID</t>
    <phoneticPr fontId="1"/>
  </si>
  <si>
    <t>チェックシートSEQ</t>
    <phoneticPr fontId="1"/>
  </si>
  <si>
    <t>Text.From([チェックシートSEQ]) &amp; "_" &amp; Text.From([測定箇所SEQ])</t>
    <phoneticPr fontId="1"/>
  </si>
  <si>
    <t>PowerQueryで項目追加</t>
    <rPh sb="11" eb="15">
      <t>コウモクツイカ</t>
    </rPh>
    <phoneticPr fontId="1"/>
  </si>
  <si>
    <t>ロットサンプルID</t>
    <phoneticPr fontId="1"/>
  </si>
  <si>
    <t>Text.From([製造書指示番号]) &amp; "_" &amp; Text.From([検査工程名]) &amp; "_" &amp; Text.From([Ｎ数])</t>
    <phoneticPr fontId="1"/>
  </si>
  <si>
    <t>mst_cav一覧と結合するための項目</t>
    <rPh sb="7" eb="9">
      <t>イチラン</t>
    </rPh>
    <rPh sb="10" eb="12">
      <t>ケツゴウ</t>
    </rPh>
    <rPh sb="17" eb="19">
      <t>コウモク</t>
    </rPh>
    <phoneticPr fontId="1"/>
  </si>
  <si>
    <t>ファイル名</t>
    <rPh sb="4" eb="5">
      <t>メイ</t>
    </rPh>
    <phoneticPr fontId="1"/>
  </si>
  <si>
    <t>測定値_数値判定</t>
    <rPh sb="0" eb="3">
      <t>ソクテイチ</t>
    </rPh>
    <rPh sb="4" eb="8">
      <t>スウチハンテイ</t>
    </rPh>
    <phoneticPr fontId="1"/>
  </si>
  <si>
    <t>if Value.Is(Value.FromText([測定値]), Number.Type) then "1" else "0")</t>
    <phoneticPr fontId="1"/>
  </si>
  <si>
    <t>-</t>
    <phoneticPr fontId="1"/>
  </si>
  <si>
    <t>cav</t>
    <phoneticPr fontId="1"/>
  </si>
  <si>
    <t>製品形</t>
    <rPh sb="0" eb="2">
      <t>セイヒン</t>
    </rPh>
    <rPh sb="2" eb="3">
      <t>カタチ</t>
    </rPh>
    <phoneticPr fontId="1"/>
  </si>
  <si>
    <t>ロットID</t>
    <phoneticPr fontId="1"/>
  </si>
  <si>
    <t>測定値（ビン）</t>
    <rPh sb="0" eb="3">
      <t>ソクテイチ</t>
    </rPh>
    <phoneticPr fontId="1"/>
  </si>
  <si>
    <t>Key</t>
    <phoneticPr fontId="1"/>
  </si>
  <si>
    <t>mst_ライン一覧.製品形</t>
    <phoneticPr fontId="1"/>
  </si>
  <si>
    <t>mst_ライン一覧</t>
  </si>
  <si>
    <t>製品形</t>
    <phoneticPr fontId="1"/>
  </si>
  <si>
    <t>Text.From([製造書指示番号]) &amp; "_" &amp; Text.From([測定箇所SEQ]) &amp; "_" &amp; Text.From([検査タイプ]) &amp; "_" &amp; Text.From([Ｎ数])</t>
    <phoneticPr fontId="1"/>
  </si>
  <si>
    <t>Text.Replace(Text.From([着手日]), "/", "") &amp; "_" &amp; Text.From([#"ラインNo."])</t>
    <phoneticPr fontId="1"/>
  </si>
  <si>
    <t>グループ化</t>
    <rPh sb="4" eb="5">
      <t>カ</t>
    </rPh>
    <phoneticPr fontId="1"/>
  </si>
  <si>
    <t>ビンのサイズ：0.004</t>
    <phoneticPr fontId="1"/>
  </si>
  <si>
    <t>CP = (AVERAGE('数値検査_LOG'[上限])-AVERAGE('数値検査_LOG'[下限]))/ (6*STDEV.S('数値検査_LOG'[測定値]))</t>
    <phoneticPr fontId="1"/>
  </si>
  <si>
    <t>CP1 = (AVERAGE('数値検査_LOG'[上限])-AVERAGE('数値検査_LOG'[測定値]))/(3* STDEV.S('数値検査_LOG'[測定値]))</t>
    <phoneticPr fontId="1"/>
  </si>
  <si>
    <t>CP2 = (AVERAGE('数値検査_LOG'[測定値])-AVERAGE('数値検査_LOG'[下限])) / (3* STDEV.S('数値検査_LOG'[測定値]))</t>
    <phoneticPr fontId="1"/>
  </si>
  <si>
    <t>CPK = MIN('数値検査_LOG'[CP1],'数値検査_LOG'[CP2])</t>
    <phoneticPr fontId="1"/>
  </si>
  <si>
    <t>Max = MAX('数値検査_LOG'[測定値])</t>
    <phoneticPr fontId="1"/>
  </si>
  <si>
    <t>Min = MIN('数値検査_LOG'[測定値])</t>
    <phoneticPr fontId="1"/>
  </si>
  <si>
    <t>Range = MAX('数値検査_LOG'[測定値])-MIN('数値検査_LOG'[測定値])</t>
    <phoneticPr fontId="1"/>
  </si>
  <si>
    <t>Xbar = AVERAGE('数値検査_LOG'[測定値])</t>
    <phoneticPr fontId="1"/>
  </si>
  <si>
    <t>σ = STDEV.S('数値検査_LOG'[測定値])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</si>
</sst>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FF0000"/>
      <name val="Yu Gothic"/>
      <family val="2"/>
      <charset val="128"/>
      <scheme val="minor"/>
    </font>
    <font>
      <sz val="11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/>
    <xf numFmtId="0" fontId="2" fillId="0" borderId="10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2" borderId="3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2" fillId="0" borderId="0" xfId="0" applyFont="1" applyAlignment="1">
      <alignment horizontal="left" vertical="top"/>
    </xf>
    <xf numFmtId="0" fontId="4" fillId="0" borderId="0" xfId="0" applyFont="1"/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0" borderId="1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8" fillId="0" borderId="0" xfId="0" applyFont="1"/>
    <xf numFmtId="0" fontId="8" fillId="0" borderId="8" xfId="0" applyFont="1" applyBorder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44</xdr:row>
      <xdr:rowOff>0</xdr:rowOff>
    </xdr:from>
    <xdr:to>
      <xdr:col>31</xdr:col>
      <xdr:colOff>172500</xdr:colOff>
      <xdr:row>64</xdr:row>
      <xdr:rowOff>79735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0271FE5-C287-C654-8141-BF4EFA4D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8470447"/>
          <a:ext cx="6840000" cy="388973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31</xdr:col>
      <xdr:colOff>172500</xdr:colOff>
      <xdr:row>32</xdr:row>
      <xdr:rowOff>86893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CB4B522-2167-1C01-490B-5E567E90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2374447"/>
          <a:ext cx="6840000" cy="389689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21</xdr:col>
      <xdr:colOff>65314</xdr:colOff>
      <xdr:row>10</xdr:row>
      <xdr:rowOff>72118</xdr:rowOff>
    </xdr:from>
    <xdr:to>
      <xdr:col>27</xdr:col>
      <xdr:colOff>203428</xdr:colOff>
      <xdr:row>12</xdr:row>
      <xdr:rowOff>38780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BACD1F8-CD49-A3B1-6F8B-518284152FEE}"/>
            </a:ext>
          </a:extLst>
        </xdr:cNvPr>
        <xdr:cNvSpPr/>
      </xdr:nvSpPr>
      <xdr:spPr>
        <a:xfrm>
          <a:off x="5065940" y="2065565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22</xdr:col>
      <xdr:colOff>72117</xdr:colOff>
      <xdr:row>42</xdr:row>
      <xdr:rowOff>85725</xdr:rowOff>
    </xdr:from>
    <xdr:to>
      <xdr:col>28</xdr:col>
      <xdr:colOff>210231</xdr:colOff>
      <xdr:row>44</xdr:row>
      <xdr:rowOff>52387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35B87F8A-17FF-4EA7-A185-32F86E4066AE}"/>
            </a:ext>
          </a:extLst>
        </xdr:cNvPr>
        <xdr:cNvSpPr/>
      </xdr:nvSpPr>
      <xdr:spPr>
        <a:xfrm>
          <a:off x="5310867" y="8175172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17</xdr:col>
      <xdr:colOff>40820</xdr:colOff>
      <xdr:row>50</xdr:row>
      <xdr:rowOff>10886</xdr:rowOff>
    </xdr:from>
    <xdr:to>
      <xdr:col>24</xdr:col>
      <xdr:colOff>163285</xdr:colOff>
      <xdr:row>51</xdr:row>
      <xdr:rowOff>168048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CF1FCD2B-D28F-4897-B132-2B8ED25C9ED1}"/>
            </a:ext>
          </a:extLst>
        </xdr:cNvPr>
        <xdr:cNvSpPr/>
      </xdr:nvSpPr>
      <xdr:spPr>
        <a:xfrm>
          <a:off x="4088946" y="9624333"/>
          <a:ext cx="1789339" cy="347662"/>
        </a:xfrm>
        <a:prstGeom prst="wedgeRectCallout">
          <a:avLst>
            <a:gd name="adj1" fmla="val -65269"/>
            <a:gd name="adj2" fmla="val -9855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⑥品名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詳細データ</a:t>
          </a:r>
        </a:p>
      </xdr:txBody>
    </xdr:sp>
    <xdr:clientData/>
  </xdr:twoCellAnchor>
  <xdr:twoCellAnchor>
    <xdr:from>
      <xdr:col>7</xdr:col>
      <xdr:colOff>64634</xdr:colOff>
      <xdr:row>47</xdr:row>
      <xdr:rowOff>51028</xdr:rowOff>
    </xdr:from>
    <xdr:to>
      <xdr:col>11</xdr:col>
      <xdr:colOff>88446</xdr:colOff>
      <xdr:row>49</xdr:row>
      <xdr:rowOff>17690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600AFE7D-4277-E337-6C13-529219B86AF0}"/>
            </a:ext>
          </a:extLst>
        </xdr:cNvPr>
        <xdr:cNvSpPr/>
      </xdr:nvSpPr>
      <xdr:spPr>
        <a:xfrm>
          <a:off x="1731510" y="8711975"/>
          <a:ext cx="976312" cy="347662"/>
        </a:xfrm>
        <a:prstGeom prst="wedgeRectCallout">
          <a:avLst>
            <a:gd name="adj1" fmla="val -61775"/>
            <a:gd name="adj2" fmla="val -7311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②着手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</a:p>
      </xdr:txBody>
    </xdr:sp>
    <xdr:clientData/>
  </xdr:twoCellAnchor>
  <xdr:twoCellAnchor>
    <xdr:from>
      <xdr:col>0</xdr:col>
      <xdr:colOff>217714</xdr:colOff>
      <xdr:row>13</xdr:row>
      <xdr:rowOff>165327</xdr:rowOff>
    </xdr:from>
    <xdr:to>
      <xdr:col>3</xdr:col>
      <xdr:colOff>96609</xdr:colOff>
      <xdr:row>15</xdr:row>
      <xdr:rowOff>131989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FB82C1-92AD-56A1-32C8-7A8CD13991E8}"/>
            </a:ext>
          </a:extLst>
        </xdr:cNvPr>
        <xdr:cNvSpPr/>
      </xdr:nvSpPr>
      <xdr:spPr>
        <a:xfrm>
          <a:off x="217714" y="2730274"/>
          <a:ext cx="593271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1</xdr:col>
      <xdr:colOff>40820</xdr:colOff>
      <xdr:row>18</xdr:row>
      <xdr:rowOff>178934</xdr:rowOff>
    </xdr:from>
    <xdr:to>
      <xdr:col>4</xdr:col>
      <xdr:colOff>20410</xdr:colOff>
      <xdr:row>20</xdr:row>
      <xdr:rowOff>145596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B6707E7-661A-BD6F-0056-12B80A94730F}"/>
            </a:ext>
          </a:extLst>
        </xdr:cNvPr>
        <xdr:cNvSpPr/>
      </xdr:nvSpPr>
      <xdr:spPr>
        <a:xfrm>
          <a:off x="278946" y="3696381"/>
          <a:ext cx="693964" cy="347662"/>
        </a:xfrm>
        <a:prstGeom prst="wedgeRectCallout">
          <a:avLst>
            <a:gd name="adj1" fmla="val 89564"/>
            <a:gd name="adj2" fmla="val 320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115660</xdr:colOff>
      <xdr:row>24</xdr:row>
      <xdr:rowOff>144916</xdr:rowOff>
    </xdr:from>
    <xdr:to>
      <xdr:col>6</xdr:col>
      <xdr:colOff>47624</xdr:colOff>
      <xdr:row>26</xdr:row>
      <xdr:rowOff>111578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221FCD7-A4B4-E35C-1E97-B42259EA61FE}"/>
            </a:ext>
          </a:extLst>
        </xdr:cNvPr>
        <xdr:cNvSpPr/>
      </xdr:nvSpPr>
      <xdr:spPr>
        <a:xfrm>
          <a:off x="353786" y="4805363"/>
          <a:ext cx="1122588" cy="347662"/>
        </a:xfrm>
        <a:prstGeom prst="wedgeRectCallout">
          <a:avLst>
            <a:gd name="adj1" fmla="val 52448"/>
            <a:gd name="adj2" fmla="val -9268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④測定箇所名</a:t>
          </a:r>
        </a:p>
      </xdr:txBody>
    </xdr:sp>
    <xdr:clientData/>
  </xdr:twoCellAnchor>
  <xdr:twoCellAnchor>
    <xdr:from>
      <xdr:col>11</xdr:col>
      <xdr:colOff>53069</xdr:colOff>
      <xdr:row>27</xdr:row>
      <xdr:rowOff>90488</xdr:rowOff>
    </xdr:from>
    <xdr:to>
      <xdr:col>15</xdr:col>
      <xdr:colOff>0</xdr:colOff>
      <xdr:row>29</xdr:row>
      <xdr:rowOff>57150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F72DC827-4DB8-6BD7-49F3-8116D6FA8C46}"/>
            </a:ext>
          </a:extLst>
        </xdr:cNvPr>
        <xdr:cNvSpPr/>
      </xdr:nvSpPr>
      <xdr:spPr>
        <a:xfrm>
          <a:off x="2434319" y="5322435"/>
          <a:ext cx="899431" cy="347662"/>
        </a:xfrm>
        <a:prstGeom prst="wedgeRectCallout">
          <a:avLst>
            <a:gd name="adj1" fmla="val -40593"/>
            <a:gd name="adj2" fmla="val -1435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⑤品名</a:t>
          </a:r>
        </a:p>
      </xdr:txBody>
    </xdr:sp>
    <xdr:clientData/>
  </xdr:twoCellAnchor>
  <xdr:twoCellAnchor>
    <xdr:from>
      <xdr:col>5</xdr:col>
      <xdr:colOff>229960</xdr:colOff>
      <xdr:row>51</xdr:row>
      <xdr:rowOff>29256</xdr:rowOff>
    </xdr:from>
    <xdr:to>
      <xdr:col>9</xdr:col>
      <xdr:colOff>176891</xdr:colOff>
      <xdr:row>52</xdr:row>
      <xdr:rowOff>186418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AE46AAC-7DFE-1812-1C59-BDC304204EA4}"/>
            </a:ext>
          </a:extLst>
        </xdr:cNvPr>
        <xdr:cNvSpPr/>
      </xdr:nvSpPr>
      <xdr:spPr>
        <a:xfrm>
          <a:off x="1420586" y="9833203"/>
          <a:ext cx="899431" cy="347662"/>
        </a:xfrm>
        <a:prstGeom prst="wedgeRectCallout">
          <a:avLst>
            <a:gd name="adj1" fmla="val -38324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216355</xdr:colOff>
      <xdr:row>16</xdr:row>
      <xdr:rowOff>172130</xdr:rowOff>
    </xdr:from>
    <xdr:to>
      <xdr:col>33</xdr:col>
      <xdr:colOff>88446</xdr:colOff>
      <xdr:row>18</xdr:row>
      <xdr:rowOff>138792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C570DA94-9EB2-1E29-CF93-2BFF7C2A5239}"/>
            </a:ext>
          </a:extLst>
        </xdr:cNvPr>
        <xdr:cNvSpPr/>
      </xdr:nvSpPr>
      <xdr:spPr>
        <a:xfrm>
          <a:off x="6407605" y="3308577"/>
          <a:ext cx="1300841" cy="347662"/>
        </a:xfrm>
        <a:prstGeom prst="wedgeRectCallout">
          <a:avLst>
            <a:gd name="adj1" fmla="val -78415"/>
            <a:gd name="adj2" fmla="val -39848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⑥品名詳細データ</a:t>
          </a:r>
        </a:p>
      </xdr:txBody>
    </xdr:sp>
    <xdr:clientData/>
  </xdr:twoCellAnchor>
  <xdr:twoCellAnchor>
    <xdr:from>
      <xdr:col>19</xdr:col>
      <xdr:colOff>107498</xdr:colOff>
      <xdr:row>19</xdr:row>
      <xdr:rowOff>70077</xdr:rowOff>
    </xdr:from>
    <xdr:to>
      <xdr:col>24</xdr:col>
      <xdr:colOff>217713</xdr:colOff>
      <xdr:row>21</xdr:row>
      <xdr:rowOff>36739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9BBC0BEE-3E9C-437F-4145-73CBE78290A5}"/>
            </a:ext>
          </a:extLst>
        </xdr:cNvPr>
        <xdr:cNvSpPr/>
      </xdr:nvSpPr>
      <xdr:spPr>
        <a:xfrm>
          <a:off x="4393748" y="3778024"/>
          <a:ext cx="1300841" cy="347662"/>
        </a:xfrm>
        <a:prstGeom prst="wedgeRectCallout">
          <a:avLst>
            <a:gd name="adj1" fmla="val -60633"/>
            <a:gd name="adj2" fmla="val 11866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Xbar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134712</xdr:colOff>
      <xdr:row>27</xdr:row>
      <xdr:rowOff>76881</xdr:rowOff>
    </xdr:from>
    <xdr:to>
      <xdr:col>35</xdr:col>
      <xdr:colOff>6803</xdr:colOff>
      <xdr:row>29</xdr:row>
      <xdr:rowOff>43543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F6EEFDC1-5605-8BF2-835B-CF7A273580C2}"/>
            </a:ext>
          </a:extLst>
        </xdr:cNvPr>
        <xdr:cNvSpPr/>
      </xdr:nvSpPr>
      <xdr:spPr>
        <a:xfrm>
          <a:off x="6802212" y="5308828"/>
          <a:ext cx="1300841" cy="347662"/>
        </a:xfrm>
        <a:prstGeom prst="wedgeRectCallout">
          <a:avLst>
            <a:gd name="adj1" fmla="val -60633"/>
            <a:gd name="adj2" fmla="val 11866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Range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88446</xdr:colOff>
      <xdr:row>57</xdr:row>
      <xdr:rowOff>183697</xdr:rowOff>
    </xdr:from>
    <xdr:to>
      <xdr:col>5</xdr:col>
      <xdr:colOff>20408</xdr:colOff>
      <xdr:row>59</xdr:row>
      <xdr:rowOff>150359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C33864FC-9B5B-43BC-B3EE-E72038BA220D}"/>
            </a:ext>
          </a:extLst>
        </xdr:cNvPr>
        <xdr:cNvSpPr/>
      </xdr:nvSpPr>
      <xdr:spPr>
        <a:xfrm>
          <a:off x="88446" y="11130644"/>
          <a:ext cx="1122588" cy="347662"/>
        </a:xfrm>
        <a:prstGeom prst="wedgeRectCallout">
          <a:avLst>
            <a:gd name="adj1" fmla="val 52448"/>
            <a:gd name="adj2" fmla="val -9268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④測定箇所名</a:t>
          </a:r>
        </a:p>
      </xdr:txBody>
    </xdr:sp>
    <xdr:clientData/>
  </xdr:twoCellAnchor>
  <xdr:twoCellAnchor>
    <xdr:from>
      <xdr:col>10</xdr:col>
      <xdr:colOff>25855</xdr:colOff>
      <xdr:row>60</xdr:row>
      <xdr:rowOff>129269</xdr:rowOff>
    </xdr:from>
    <xdr:to>
      <xdr:col>13</xdr:col>
      <xdr:colOff>210910</xdr:colOff>
      <xdr:row>62</xdr:row>
      <xdr:rowOff>95931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5880A18E-6888-478C-A117-17AAB4273CB6}"/>
            </a:ext>
          </a:extLst>
        </xdr:cNvPr>
        <xdr:cNvSpPr/>
      </xdr:nvSpPr>
      <xdr:spPr>
        <a:xfrm>
          <a:off x="2407105" y="11647716"/>
          <a:ext cx="899431" cy="347662"/>
        </a:xfrm>
        <a:prstGeom prst="wedgeRectCallout">
          <a:avLst>
            <a:gd name="adj1" fmla="val -40593"/>
            <a:gd name="adj2" fmla="val -1435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⑤品名</a:t>
          </a:r>
        </a:p>
      </xdr:txBody>
    </xdr:sp>
    <xdr:clientData/>
  </xdr:twoCellAnchor>
  <xdr:twoCellAnchor>
    <xdr:from>
      <xdr:col>31</xdr:col>
      <xdr:colOff>74838</xdr:colOff>
      <xdr:row>50</xdr:row>
      <xdr:rowOff>85726</xdr:rowOff>
    </xdr:from>
    <xdr:to>
      <xdr:col>38</xdr:col>
      <xdr:colOff>197303</xdr:colOff>
      <xdr:row>52</xdr:row>
      <xdr:rowOff>52388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5217BA95-3B7C-CB34-D3DF-674C664CBFA9}"/>
            </a:ext>
          </a:extLst>
        </xdr:cNvPr>
        <xdr:cNvSpPr/>
      </xdr:nvSpPr>
      <xdr:spPr>
        <a:xfrm>
          <a:off x="7456714" y="9699173"/>
          <a:ext cx="1789339" cy="347662"/>
        </a:xfrm>
        <a:prstGeom prst="wedgeRectCallout">
          <a:avLst>
            <a:gd name="adj1" fmla="val -65269"/>
            <a:gd name="adj2" fmla="val -9855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⑦品名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/cav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詳細データ</a:t>
          </a:r>
        </a:p>
      </xdr:txBody>
    </xdr:sp>
    <xdr:clientData/>
  </xdr:twoCellAnchor>
  <xdr:twoCellAnchor>
    <xdr:from>
      <xdr:col>28</xdr:col>
      <xdr:colOff>231321</xdr:colOff>
      <xdr:row>59</xdr:row>
      <xdr:rowOff>85726</xdr:rowOff>
    </xdr:from>
    <xdr:to>
      <xdr:col>36</xdr:col>
      <xdr:colOff>115660</xdr:colOff>
      <xdr:row>61</xdr:row>
      <xdr:rowOff>52388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4951CD90-AC67-F5AB-2DC1-E1D54C075D35}"/>
            </a:ext>
          </a:extLst>
        </xdr:cNvPr>
        <xdr:cNvSpPr/>
      </xdr:nvSpPr>
      <xdr:spPr>
        <a:xfrm>
          <a:off x="6898821" y="11413673"/>
          <a:ext cx="1789339" cy="347662"/>
        </a:xfrm>
        <a:prstGeom prst="wedgeRectCallout">
          <a:avLst>
            <a:gd name="adj1" fmla="val -65269"/>
            <a:gd name="adj2" fmla="val -9855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⑧測定値ヒストグラム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13</xdr:row>
      <xdr:rowOff>0</xdr:rowOff>
    </xdr:from>
    <xdr:to>
      <xdr:col>52</xdr:col>
      <xdr:colOff>0</xdr:colOff>
      <xdr:row>14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5733747-1C24-4BA7-90BE-C0EEB8B095B6}"/>
            </a:ext>
          </a:extLst>
        </xdr:cNvPr>
        <xdr:cNvCxnSpPr>
          <a:stCxn id="5" idx="2"/>
          <a:endCxn id="4" idx="1"/>
        </xdr:cNvCxnSpPr>
      </xdr:nvCxnSpPr>
      <xdr:spPr>
        <a:xfrm>
          <a:off x="10401300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</xdr:colOff>
      <xdr:row>4</xdr:row>
      <xdr:rowOff>1</xdr:rowOff>
    </xdr:from>
    <xdr:to>
      <xdr:col>55</xdr:col>
      <xdr:colOff>57150</xdr:colOff>
      <xdr:row>6</xdr:row>
      <xdr:rowOff>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6D174B6-0D91-4B7F-A643-92BA11EE38D9}"/>
            </a:ext>
          </a:extLst>
        </xdr:cNvPr>
        <xdr:cNvSpPr txBox="1"/>
      </xdr:nvSpPr>
      <xdr:spPr>
        <a:xfrm>
          <a:off x="10048875" y="762001"/>
          <a:ext cx="1009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測定値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14</xdr:row>
      <xdr:rowOff>0</xdr:rowOff>
    </xdr:from>
    <xdr:to>
      <xdr:col>55</xdr:col>
      <xdr:colOff>0</xdr:colOff>
      <xdr:row>18</xdr:row>
      <xdr:rowOff>0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C36B183C-1428-483A-BAA3-0FE214299FAE}"/>
            </a:ext>
          </a:extLst>
        </xdr:cNvPr>
        <xdr:cNvSpPr/>
      </xdr:nvSpPr>
      <xdr:spPr>
        <a:xfrm>
          <a:off x="9801225" y="2667000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11</xdr:row>
      <xdr:rowOff>0</xdr:rowOff>
    </xdr:from>
    <xdr:to>
      <xdr:col>55</xdr:col>
      <xdr:colOff>0</xdr:colOff>
      <xdr:row>13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9B9217B-6FE2-4FBF-8DAE-913B542DEB61}"/>
            </a:ext>
          </a:extLst>
        </xdr:cNvPr>
        <xdr:cNvSpPr/>
      </xdr:nvSpPr>
      <xdr:spPr>
        <a:xfrm>
          <a:off x="9801225" y="2095500"/>
          <a:ext cx="1200150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52</xdr:col>
      <xdr:colOff>0</xdr:colOff>
      <xdr:row>10</xdr:row>
      <xdr:rowOff>0</xdr:rowOff>
    </xdr:from>
    <xdr:to>
      <xdr:col>52</xdr:col>
      <xdr:colOff>0</xdr:colOff>
      <xdr:row>11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ED234AE0-2862-4A15-A3B9-056D0F4B323C}"/>
            </a:ext>
          </a:extLst>
        </xdr:cNvPr>
        <xdr:cNvCxnSpPr>
          <a:endCxn id="5" idx="0"/>
        </xdr:cNvCxnSpPr>
      </xdr:nvCxnSpPr>
      <xdr:spPr>
        <a:xfrm>
          <a:off x="10401300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0</xdr:colOff>
      <xdr:row>14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2235B19-D0D5-4B09-8D75-5B9D7BE47F4D}"/>
            </a:ext>
          </a:extLst>
        </xdr:cNvPr>
        <xdr:cNvCxnSpPr>
          <a:stCxn id="9" idx="2"/>
          <a:endCxn id="8" idx="1"/>
        </xdr:cNvCxnSpPr>
      </xdr:nvCxnSpPr>
      <xdr:spPr>
        <a:xfrm>
          <a:off x="660082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0</xdr:rowOff>
    </xdr:from>
    <xdr:to>
      <xdr:col>36</xdr:col>
      <xdr:colOff>1</xdr:colOff>
      <xdr:row>18</xdr:row>
      <xdr:rowOff>0</xdr:rowOff>
    </xdr:to>
    <xdr:sp macro="" textlink="">
      <xdr:nvSpPr>
        <xdr:cNvPr id="8" name="フローチャート: 磁気ディスク 7">
          <a:extLst>
            <a:ext uri="{FF2B5EF4-FFF2-40B4-BE49-F238E27FC236}">
              <a16:creationId xmlns:a16="http://schemas.microsoft.com/office/drawing/2014/main" id="{314A2009-960A-4DE3-9967-3F4D126A20ED}"/>
            </a:ext>
          </a:extLst>
        </xdr:cNvPr>
        <xdr:cNvSpPr/>
      </xdr:nvSpPr>
      <xdr:spPr>
        <a:xfrm>
          <a:off x="6000750" y="2667000"/>
          <a:ext cx="120015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_work</a:t>
          </a:r>
        </a:p>
      </xdr:txBody>
    </xdr:sp>
    <xdr:clientData/>
  </xdr:twoCellAnchor>
  <xdr:twoCellAnchor>
    <xdr:from>
      <xdr:col>30</xdr:col>
      <xdr:colOff>0</xdr:colOff>
      <xdr:row>11</xdr:row>
      <xdr:rowOff>1</xdr:rowOff>
    </xdr:from>
    <xdr:to>
      <xdr:col>36</xdr:col>
      <xdr:colOff>1</xdr:colOff>
      <xdr:row>13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0791A78-2FF1-4401-917B-FEB3DBBB684D}"/>
            </a:ext>
          </a:extLst>
        </xdr:cNvPr>
        <xdr:cNvSpPr/>
      </xdr:nvSpPr>
      <xdr:spPr>
        <a:xfrm>
          <a:off x="6000750" y="2095501"/>
          <a:ext cx="1200151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33</xdr:col>
      <xdr:colOff>0</xdr:colOff>
      <xdr:row>10</xdr:row>
      <xdr:rowOff>1</xdr:rowOff>
    </xdr:from>
    <xdr:to>
      <xdr:col>33</xdr:col>
      <xdr:colOff>0</xdr:colOff>
      <xdr:row>11</xdr:row>
      <xdr:rowOff>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D59DE97-6316-4EEC-9F1E-C8DE9740B5BA}"/>
            </a:ext>
          </a:extLst>
        </xdr:cNvPr>
        <xdr:cNvCxnSpPr>
          <a:endCxn id="9" idx="0"/>
        </xdr:cNvCxnSpPr>
      </xdr:nvCxnSpPr>
      <xdr:spPr>
        <a:xfrm>
          <a:off x="6600825" y="1905001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190400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4E160C0-E5DD-412C-93D8-1C45FE96D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0125" y="1143000"/>
          <a:ext cx="792959" cy="7619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9FCA094-8FCB-4EC7-8BEE-E669D9E34CF4}"/>
            </a:ext>
          </a:extLst>
        </xdr:cNvPr>
        <xdr:cNvSpPr txBox="1"/>
      </xdr:nvSpPr>
      <xdr:spPr>
        <a:xfrm>
          <a:off x="9906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ACD3FE3-BE06-498C-A1B2-9609C5CDD692}"/>
            </a:ext>
          </a:extLst>
        </xdr:cNvPr>
        <xdr:cNvCxnSpPr/>
      </xdr:nvCxnSpPr>
      <xdr:spPr>
        <a:xfrm>
          <a:off x="14001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4BBC19DE-F7E9-4007-9FB8-CAF469E4F3EC}"/>
            </a:ext>
          </a:extLst>
        </xdr:cNvPr>
        <xdr:cNvSpPr/>
      </xdr:nvSpPr>
      <xdr:spPr>
        <a:xfrm>
          <a:off x="8001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6060AED-78B9-45EA-9C6C-61F85B7E6D91}"/>
            </a:ext>
          </a:extLst>
        </xdr:cNvPr>
        <xdr:cNvSpPr/>
      </xdr:nvSpPr>
      <xdr:spPr>
        <a:xfrm>
          <a:off x="8001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E835321-1D4F-499E-9288-D61E797C4344}"/>
            </a:ext>
          </a:extLst>
        </xdr:cNvPr>
        <xdr:cNvCxnSpPr>
          <a:endCxn id="15" idx="0"/>
        </xdr:cNvCxnSpPr>
      </xdr:nvCxnSpPr>
      <xdr:spPr>
        <a:xfrm>
          <a:off x="14001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0</xdr:colOff>
      <xdr:row>6</xdr:row>
      <xdr:rowOff>0</xdr:rowOff>
    </xdr:from>
    <xdr:ext cx="798002" cy="805043"/>
    <xdr:pic>
      <xdr:nvPicPr>
        <xdr:cNvPr id="17" name="図 16">
          <a:extLst>
            <a:ext uri="{FF2B5EF4-FFF2-40B4-BE49-F238E27FC236}">
              <a16:creationId xmlns:a16="http://schemas.microsoft.com/office/drawing/2014/main" id="{F6D9E61E-D85F-47A1-8EFC-FD1A5D002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00325" y="1143000"/>
          <a:ext cx="798002" cy="805043"/>
        </a:xfrm>
        <a:prstGeom prst="rect">
          <a:avLst/>
        </a:prstGeom>
      </xdr:spPr>
    </xdr:pic>
    <xdr:clientData/>
  </xdr:oneCellAnchor>
  <xdr:twoCellAnchor>
    <xdr:from>
      <xdr:col>12</xdr:col>
      <xdr:colOff>190500</xdr:colOff>
      <xdr:row>4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CEA4922-DEF2-4606-A847-9CCE1529827E}"/>
            </a:ext>
          </a:extLst>
        </xdr:cNvPr>
        <xdr:cNvSpPr txBox="1"/>
      </xdr:nvSpPr>
      <xdr:spPr>
        <a:xfrm>
          <a:off x="25908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情報マスタ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0</xdr:colOff>
      <xdr:row>14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389F52C3-8B5D-4BA0-904C-840F0F1E1029}"/>
            </a:ext>
          </a:extLst>
        </xdr:cNvPr>
        <xdr:cNvCxnSpPr/>
      </xdr:nvCxnSpPr>
      <xdr:spPr>
        <a:xfrm>
          <a:off x="30003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18</xdr:col>
      <xdr:colOff>1</xdr:colOff>
      <xdr:row>18</xdr:row>
      <xdr:rowOff>0</xdr:rowOff>
    </xdr:to>
    <xdr:sp macro="" textlink="">
      <xdr:nvSpPr>
        <xdr:cNvPr id="20" name="フローチャート: 磁気ディスク 19">
          <a:extLst>
            <a:ext uri="{FF2B5EF4-FFF2-40B4-BE49-F238E27FC236}">
              <a16:creationId xmlns:a16="http://schemas.microsoft.com/office/drawing/2014/main" id="{7464E9F7-BC8C-479F-81C3-E7A614F5B9C7}"/>
            </a:ext>
          </a:extLst>
        </xdr:cNvPr>
        <xdr:cNvSpPr/>
      </xdr:nvSpPr>
      <xdr:spPr>
        <a:xfrm>
          <a:off x="24003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一覧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1</xdr:colOff>
      <xdr:row>13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E9630C2-D1DA-4E46-883F-BBE9A7C3FAA9}"/>
            </a:ext>
          </a:extLst>
        </xdr:cNvPr>
        <xdr:cNvSpPr/>
      </xdr:nvSpPr>
      <xdr:spPr>
        <a:xfrm>
          <a:off x="24003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0</xdr:colOff>
      <xdr:row>11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69F7E56-102B-449F-888E-7981EB262A0A}"/>
            </a:ext>
          </a:extLst>
        </xdr:cNvPr>
        <xdr:cNvCxnSpPr>
          <a:endCxn id="21" idx="0"/>
        </xdr:cNvCxnSpPr>
      </xdr:nvCxnSpPr>
      <xdr:spPr>
        <a:xfrm>
          <a:off x="30003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200024</xdr:colOff>
      <xdr:row>3</xdr:row>
      <xdr:rowOff>1</xdr:rowOff>
    </xdr:from>
    <xdr:to>
      <xdr:col>27</xdr:col>
      <xdr:colOff>200024</xdr:colOff>
      <xdr:row>4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A9809A7-C7CD-4497-A2F1-EA01EB2A2FBD}"/>
            </a:ext>
          </a:extLst>
        </xdr:cNvPr>
        <xdr:cNvSpPr/>
      </xdr:nvSpPr>
      <xdr:spPr>
        <a:xfrm>
          <a:off x="600074" y="571501"/>
          <a:ext cx="5000625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48</xdr:col>
      <xdr:colOff>0</xdr:colOff>
      <xdr:row>3</xdr:row>
      <xdr:rowOff>1</xdr:rowOff>
    </xdr:from>
    <xdr:to>
      <xdr:col>76</xdr:col>
      <xdr:colOff>0</xdr:colOff>
      <xdr:row>4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92A74B3-106B-489C-A6A4-94FF367FF6B0}"/>
            </a:ext>
          </a:extLst>
        </xdr:cNvPr>
        <xdr:cNvSpPr/>
      </xdr:nvSpPr>
      <xdr:spPr>
        <a:xfrm>
          <a:off x="9601200" y="571501"/>
          <a:ext cx="5600700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３．数値検査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 editAs="oneCell">
    <xdr:from>
      <xdr:col>2</xdr:col>
      <xdr:colOff>123264</xdr:colOff>
      <xdr:row>18</xdr:row>
      <xdr:rowOff>122144</xdr:rowOff>
    </xdr:from>
    <xdr:to>
      <xdr:col>12</xdr:col>
      <xdr:colOff>158235</xdr:colOff>
      <xdr:row>24</xdr:row>
      <xdr:rowOff>110938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FF549A04-B4CA-4DA0-9FFA-25119930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314" y="3551144"/>
          <a:ext cx="2035221" cy="1131794"/>
        </a:xfrm>
        <a:prstGeom prst="rect">
          <a:avLst/>
        </a:prstGeom>
      </xdr:spPr>
    </xdr:pic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9970E15-EAF8-4C18-B504-D0D359801048}"/>
            </a:ext>
          </a:extLst>
        </xdr:cNvPr>
        <xdr:cNvSpPr txBox="1"/>
      </xdr:nvSpPr>
      <xdr:spPr>
        <a:xfrm>
          <a:off x="1157008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168089</xdr:colOff>
      <xdr:row>13</xdr:row>
      <xdr:rowOff>134472</xdr:rowOff>
    </xdr:from>
    <xdr:to>
      <xdr:col>16</xdr:col>
      <xdr:colOff>33618</xdr:colOff>
      <xdr:row>15</xdr:row>
      <xdr:rowOff>145677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82056C5-D5F8-490E-A0DA-81726B64FB6B}"/>
            </a:ext>
          </a:extLst>
        </xdr:cNvPr>
        <xdr:cNvSpPr txBox="1"/>
      </xdr:nvSpPr>
      <xdr:spPr>
        <a:xfrm>
          <a:off x="2768414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201705</xdr:colOff>
      <xdr:row>3</xdr:row>
      <xdr:rowOff>1</xdr:rowOff>
    </xdr:from>
    <xdr:to>
      <xdr:col>42</xdr:col>
      <xdr:colOff>197825</xdr:colOff>
      <xdr:row>4</xdr:row>
      <xdr:rowOff>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1B56117-9968-4D4A-BC17-B72B1AFC65DC}"/>
            </a:ext>
          </a:extLst>
        </xdr:cNvPr>
        <xdr:cNvSpPr/>
      </xdr:nvSpPr>
      <xdr:spPr>
        <a:xfrm>
          <a:off x="5802405" y="571501"/>
          <a:ext cx="2796470" cy="1905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cav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情報作成</a:t>
          </a:r>
        </a:p>
      </xdr:txBody>
    </xdr:sp>
    <xdr:clientData/>
  </xdr:twoCellAnchor>
  <xdr:twoCellAnchor>
    <xdr:from>
      <xdr:col>57</xdr:col>
      <xdr:colOff>0</xdr:colOff>
      <xdr:row>24</xdr:row>
      <xdr:rowOff>0</xdr:rowOff>
    </xdr:from>
    <xdr:to>
      <xdr:col>63</xdr:col>
      <xdr:colOff>0</xdr:colOff>
      <xdr:row>28</xdr:row>
      <xdr:rowOff>0</xdr:rowOff>
    </xdr:to>
    <xdr:sp macro="" textlink="">
      <xdr:nvSpPr>
        <xdr:cNvPr id="31" name="フローチャート: 磁気ディスク 30">
          <a:extLst>
            <a:ext uri="{FF2B5EF4-FFF2-40B4-BE49-F238E27FC236}">
              <a16:creationId xmlns:a16="http://schemas.microsoft.com/office/drawing/2014/main" id="{85DC014C-CB2F-4978-82CE-E06F07648C66}"/>
            </a:ext>
          </a:extLst>
        </xdr:cNvPr>
        <xdr:cNvSpPr/>
      </xdr:nvSpPr>
      <xdr:spPr>
        <a:xfrm>
          <a:off x="11401425" y="4572000"/>
          <a:ext cx="1200150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52</xdr:col>
      <xdr:colOff>0</xdr:colOff>
      <xdr:row>18</xdr:row>
      <xdr:rowOff>0</xdr:rowOff>
    </xdr:from>
    <xdr:to>
      <xdr:col>52</xdr:col>
      <xdr:colOff>0</xdr:colOff>
      <xdr:row>20</xdr:row>
      <xdr:rowOff>1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50305AC-81C8-4EF5-8907-3F49C0B6A37A}"/>
            </a:ext>
          </a:extLst>
        </xdr:cNvPr>
        <xdr:cNvCxnSpPr>
          <a:stCxn id="4" idx="3"/>
          <a:endCxn id="48" idx="0"/>
        </xdr:cNvCxnSpPr>
      </xdr:nvCxnSpPr>
      <xdr:spPr>
        <a:xfrm>
          <a:off x="10401300" y="3429000"/>
          <a:ext cx="0" cy="3810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24</xdr:row>
      <xdr:rowOff>1</xdr:rowOff>
    </xdr:from>
    <xdr:to>
      <xdr:col>55</xdr:col>
      <xdr:colOff>0</xdr:colOff>
      <xdr:row>28</xdr:row>
      <xdr:rowOff>0</xdr:rowOff>
    </xdr:to>
    <xdr:sp macro="" textlink="">
      <xdr:nvSpPr>
        <xdr:cNvPr id="33" name="フローチャート: 磁気ディスク 32">
          <a:extLst>
            <a:ext uri="{FF2B5EF4-FFF2-40B4-BE49-F238E27FC236}">
              <a16:creationId xmlns:a16="http://schemas.microsoft.com/office/drawing/2014/main" id="{D6C379B6-2D45-40D8-8D67-7FA3211B7312}"/>
            </a:ext>
          </a:extLst>
        </xdr:cNvPr>
        <xdr:cNvSpPr/>
      </xdr:nvSpPr>
      <xdr:spPr>
        <a:xfrm>
          <a:off x="9801225" y="4572001"/>
          <a:ext cx="1200150" cy="76199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</xdr:txBody>
    </xdr:sp>
    <xdr:clientData/>
  </xdr:twoCellAnchor>
  <xdr:twoCellAnchor>
    <xdr:from>
      <xdr:col>33</xdr:col>
      <xdr:colOff>1</xdr:colOff>
      <xdr:row>17</xdr:row>
      <xdr:rowOff>201705</xdr:rowOff>
    </xdr:from>
    <xdr:to>
      <xdr:col>40</xdr:col>
      <xdr:colOff>162206</xdr:colOff>
      <xdr:row>20</xdr:row>
      <xdr:rowOff>0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EF1AFC40-7AB9-4BAA-A783-141BC280AF02}"/>
            </a:ext>
          </a:extLst>
        </xdr:cNvPr>
        <xdr:cNvCxnSpPr>
          <a:cxnSpLocks/>
          <a:stCxn id="44" idx="3"/>
          <a:endCxn id="45" idx="0"/>
        </xdr:cNvCxnSpPr>
      </xdr:nvCxnSpPr>
      <xdr:spPr>
        <a:xfrm rot="5400000">
          <a:off x="7192356" y="2839150"/>
          <a:ext cx="379320" cy="1562380"/>
        </a:xfrm>
        <a:prstGeom prst="bentConnector3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24</xdr:row>
      <xdr:rowOff>1</xdr:rowOff>
    </xdr:from>
    <xdr:to>
      <xdr:col>36</xdr:col>
      <xdr:colOff>1</xdr:colOff>
      <xdr:row>28</xdr:row>
      <xdr:rowOff>0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0CB8BDE5-F3BF-4138-A9F9-89F7757F9E53}"/>
            </a:ext>
          </a:extLst>
        </xdr:cNvPr>
        <xdr:cNvSpPr/>
      </xdr:nvSpPr>
      <xdr:spPr>
        <a:xfrm>
          <a:off x="6000750" y="4572001"/>
          <a:ext cx="1200151" cy="76199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33</xdr:col>
      <xdr:colOff>0</xdr:colOff>
      <xdr:row>18</xdr:row>
      <xdr:rowOff>0</xdr:rowOff>
    </xdr:from>
    <xdr:to>
      <xdr:col>33</xdr:col>
      <xdr:colOff>1</xdr:colOff>
      <xdr:row>20</xdr:row>
      <xdr:rowOff>1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985C396-9BDB-4066-92AF-DDE9CFD0D617}"/>
            </a:ext>
          </a:extLst>
        </xdr:cNvPr>
        <xdr:cNvCxnSpPr>
          <a:stCxn id="8" idx="3"/>
          <a:endCxn id="45" idx="0"/>
        </xdr:cNvCxnSpPr>
      </xdr:nvCxnSpPr>
      <xdr:spPr>
        <a:xfrm flipH="1">
          <a:off x="6600825" y="3429000"/>
          <a:ext cx="1" cy="3810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57148</xdr:colOff>
      <xdr:row>14</xdr:row>
      <xdr:rowOff>11208</xdr:rowOff>
    </xdr:from>
    <xdr:to>
      <xdr:col>34</xdr:col>
      <xdr:colOff>173181</xdr:colOff>
      <xdr:row>15</xdr:row>
      <xdr:rowOff>103909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60A4D291-944A-4629-986E-EDF66704032B}"/>
            </a:ext>
          </a:extLst>
        </xdr:cNvPr>
        <xdr:cNvSpPr txBox="1"/>
      </xdr:nvSpPr>
      <xdr:spPr>
        <a:xfrm>
          <a:off x="6430239" y="2678208"/>
          <a:ext cx="514351" cy="283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13</xdr:col>
      <xdr:colOff>22412</xdr:colOff>
      <xdr:row>18</xdr:row>
      <xdr:rowOff>112059</xdr:rowOff>
    </xdr:from>
    <xdr:to>
      <xdr:col>27</xdr:col>
      <xdr:colOff>19004</xdr:colOff>
      <xdr:row>20</xdr:row>
      <xdr:rowOff>22412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FAA30A5B-886F-4FFC-8D79-607D493B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2737" y="3541059"/>
          <a:ext cx="2796942" cy="291353"/>
        </a:xfrm>
        <a:prstGeom prst="rect">
          <a:avLst/>
        </a:prstGeom>
      </xdr:spPr>
    </xdr:pic>
    <xdr:clientData/>
  </xdr:twoCellAnchor>
  <xdr:oneCellAnchor>
    <xdr:from>
      <xdr:col>50</xdr:col>
      <xdr:colOff>11206</xdr:colOff>
      <xdr:row>6</xdr:row>
      <xdr:rowOff>0</xdr:rowOff>
    </xdr:from>
    <xdr:ext cx="798002" cy="805043"/>
    <xdr:pic>
      <xdr:nvPicPr>
        <xdr:cNvPr id="39" name="図 38">
          <a:extLst>
            <a:ext uri="{FF2B5EF4-FFF2-40B4-BE49-F238E27FC236}">
              <a16:creationId xmlns:a16="http://schemas.microsoft.com/office/drawing/2014/main" id="{A6516461-DFC7-45C9-A8A8-23B289EAA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12456" y="1143000"/>
          <a:ext cx="798002" cy="805043"/>
        </a:xfrm>
        <a:prstGeom prst="rect">
          <a:avLst/>
        </a:prstGeom>
      </xdr:spPr>
    </xdr:pic>
    <xdr:clientData/>
  </xdr:oneCellAnchor>
  <xdr:oneCellAnchor>
    <xdr:from>
      <xdr:col>31</xdr:col>
      <xdr:colOff>11205</xdr:colOff>
      <xdr:row>6</xdr:row>
      <xdr:rowOff>0</xdr:rowOff>
    </xdr:from>
    <xdr:ext cx="798002" cy="805043"/>
    <xdr:pic>
      <xdr:nvPicPr>
        <xdr:cNvPr id="40" name="図 39">
          <a:extLst>
            <a:ext uri="{FF2B5EF4-FFF2-40B4-BE49-F238E27FC236}">
              <a16:creationId xmlns:a16="http://schemas.microsoft.com/office/drawing/2014/main" id="{DFD44E8C-AE4F-4B50-B5F9-B6F6949D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1980" y="1143000"/>
          <a:ext cx="798002" cy="805043"/>
        </a:xfrm>
        <a:prstGeom prst="rect">
          <a:avLst/>
        </a:prstGeom>
      </xdr:spPr>
    </xdr:pic>
    <xdr:clientData/>
  </xdr:oneCellAnchor>
  <xdr:twoCellAnchor>
    <xdr:from>
      <xdr:col>49</xdr:col>
      <xdr:colOff>2802</xdr:colOff>
      <xdr:row>14</xdr:row>
      <xdr:rowOff>179295</xdr:rowOff>
    </xdr:from>
    <xdr:to>
      <xdr:col>55</xdr:col>
      <xdr:colOff>44824</xdr:colOff>
      <xdr:row>17</xdr:row>
      <xdr:rowOff>156883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5524072-886D-4AC9-B24B-206ECB92635B}"/>
            </a:ext>
          </a:extLst>
        </xdr:cNvPr>
        <xdr:cNvSpPr txBox="1"/>
      </xdr:nvSpPr>
      <xdr:spPr>
        <a:xfrm>
          <a:off x="9804027" y="2846295"/>
          <a:ext cx="1242172" cy="54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50" b="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  <a:p>
          <a:pPr algn="ctr"/>
          <a:r>
            <a:rPr kumimoji="1" lang="en-US" altLang="ja-JP" sz="1050" b="0">
              <a:latin typeface="Meiryo UI" panose="020B0604030504040204" pitchFamily="50" charset="-128"/>
              <a:ea typeface="Meiryo UI" panose="020B0604030504040204" pitchFamily="50" charset="-128"/>
            </a:rPr>
            <a:t>_work</a:t>
          </a:r>
        </a:p>
      </xdr:txBody>
    </xdr:sp>
    <xdr:clientData/>
  </xdr:twoCellAnchor>
  <xdr:twoCellAnchor>
    <xdr:from>
      <xdr:col>56</xdr:col>
      <xdr:colOff>56029</xdr:colOff>
      <xdr:row>10</xdr:row>
      <xdr:rowOff>112059</xdr:rowOff>
    </xdr:from>
    <xdr:to>
      <xdr:col>69</xdr:col>
      <xdr:colOff>112059</xdr:colOff>
      <xdr:row>13</xdr:row>
      <xdr:rowOff>89648</xdr:rowOff>
    </xdr:to>
    <xdr:sp macro="" textlink="">
      <xdr:nvSpPr>
        <xdr:cNvPr id="42" name="吹き出し: 四角形 41">
          <a:extLst>
            <a:ext uri="{FF2B5EF4-FFF2-40B4-BE49-F238E27FC236}">
              <a16:creationId xmlns:a16="http://schemas.microsoft.com/office/drawing/2014/main" id="{9A37D16B-6576-4F2E-93BD-B06B4EC5C508}"/>
            </a:ext>
          </a:extLst>
        </xdr:cNvPr>
        <xdr:cNvSpPr/>
      </xdr:nvSpPr>
      <xdr:spPr>
        <a:xfrm>
          <a:off x="11257429" y="2017059"/>
          <a:ext cx="2656355" cy="549089"/>
        </a:xfrm>
        <a:prstGeom prst="wedgeRectCallout">
          <a:avLst>
            <a:gd name="adj1" fmla="val -60945"/>
            <a:gd name="adj2" fmla="val 102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処理１．検査タイプが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Null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は除外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処理２．測定値が数値のもののみにフィルタ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159684</xdr:colOff>
      <xdr:row>4</xdr:row>
      <xdr:rowOff>1</xdr:rowOff>
    </xdr:from>
    <xdr:to>
      <xdr:col>35</xdr:col>
      <xdr:colOff>169209</xdr:colOff>
      <xdr:row>6</xdr:row>
      <xdr:rowOff>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937ACA02-4180-4B72-8C81-B93B0D0113A6}"/>
            </a:ext>
          </a:extLst>
        </xdr:cNvPr>
        <xdr:cNvSpPr txBox="1"/>
      </xdr:nvSpPr>
      <xdr:spPr>
        <a:xfrm>
          <a:off x="6160434" y="762001"/>
          <a:ext cx="1009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測定値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14</xdr:row>
      <xdr:rowOff>0</xdr:rowOff>
    </xdr:from>
    <xdr:to>
      <xdr:col>43</xdr:col>
      <xdr:colOff>122702</xdr:colOff>
      <xdr:row>18</xdr:row>
      <xdr:rowOff>0</xdr:rowOff>
    </xdr:to>
    <xdr:sp macro="" textlink="">
      <xdr:nvSpPr>
        <xdr:cNvPr id="44" name="フローチャート: 磁気ディスク 43">
          <a:extLst>
            <a:ext uri="{FF2B5EF4-FFF2-40B4-BE49-F238E27FC236}">
              <a16:creationId xmlns:a16="http://schemas.microsoft.com/office/drawing/2014/main" id="{4008F159-9E23-43E9-BDCC-262FB70FA76B}"/>
            </a:ext>
          </a:extLst>
        </xdr:cNvPr>
        <xdr:cNvSpPr/>
      </xdr:nvSpPr>
      <xdr:spPr>
        <a:xfrm>
          <a:off x="7600950" y="2667000"/>
          <a:ext cx="1122827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一覧</a:t>
          </a:r>
        </a:p>
      </xdr:txBody>
    </xdr:sp>
    <xdr:clientData/>
  </xdr:twoCellAnchor>
  <xdr:twoCellAnchor>
    <xdr:from>
      <xdr:col>30</xdr:col>
      <xdr:colOff>0</xdr:colOff>
      <xdr:row>20</xdr:row>
      <xdr:rowOff>1</xdr:rowOff>
    </xdr:from>
    <xdr:to>
      <xdr:col>36</xdr:col>
      <xdr:colOff>0</xdr:colOff>
      <xdr:row>22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D4DBDFC-258C-4CE7-BBAB-E5AA5AEECE2E}"/>
            </a:ext>
          </a:extLst>
        </xdr:cNvPr>
        <xdr:cNvSpPr/>
      </xdr:nvSpPr>
      <xdr:spPr>
        <a:xfrm>
          <a:off x="6000750" y="3810001"/>
          <a:ext cx="1200150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Inner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0</xdr:colOff>
      <xdr:row>22</xdr:row>
      <xdr:rowOff>0</xdr:rowOff>
    </xdr:from>
    <xdr:to>
      <xdr:col>33</xdr:col>
      <xdr:colOff>1</xdr:colOff>
      <xdr:row>24</xdr:row>
      <xdr:rowOff>1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615A33F4-B4E6-4E77-AD2C-CA1C81ED9BF2}"/>
            </a:ext>
          </a:extLst>
        </xdr:cNvPr>
        <xdr:cNvCxnSpPr>
          <a:stCxn id="45" idx="2"/>
          <a:endCxn id="35" idx="1"/>
        </xdr:cNvCxnSpPr>
      </xdr:nvCxnSpPr>
      <xdr:spPr>
        <a:xfrm>
          <a:off x="6600825" y="4191000"/>
          <a:ext cx="1" cy="3810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134471</xdr:colOff>
      <xdr:row>20</xdr:row>
      <xdr:rowOff>44823</xdr:rowOff>
    </xdr:from>
    <xdr:to>
      <xdr:col>46</xdr:col>
      <xdr:colOff>100853</xdr:colOff>
      <xdr:row>22</xdr:row>
      <xdr:rowOff>11207</xdr:rowOff>
    </xdr:to>
    <xdr:sp macro="" textlink="">
      <xdr:nvSpPr>
        <xdr:cNvPr id="47" name="吹き出し: 四角形 46">
          <a:extLst>
            <a:ext uri="{FF2B5EF4-FFF2-40B4-BE49-F238E27FC236}">
              <a16:creationId xmlns:a16="http://schemas.microsoft.com/office/drawing/2014/main" id="{DF5ED84A-FDEA-4CC3-8965-8A22B17DF9FE}"/>
            </a:ext>
          </a:extLst>
        </xdr:cNvPr>
        <xdr:cNvSpPr/>
      </xdr:nvSpPr>
      <xdr:spPr>
        <a:xfrm>
          <a:off x="7335371" y="3854823"/>
          <a:ext cx="1966632" cy="347384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情報のみのレコードにする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20</xdr:row>
      <xdr:rowOff>1</xdr:rowOff>
    </xdr:from>
    <xdr:to>
      <xdr:col>55</xdr:col>
      <xdr:colOff>0</xdr:colOff>
      <xdr:row>22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A4B408B-217E-46BE-B269-1A744FBE3916}"/>
            </a:ext>
          </a:extLst>
        </xdr:cNvPr>
        <xdr:cNvSpPr/>
      </xdr:nvSpPr>
      <xdr:spPr>
        <a:xfrm>
          <a:off x="9801225" y="3810001"/>
          <a:ext cx="1200150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1</xdr:colOff>
      <xdr:row>14</xdr:row>
      <xdr:rowOff>1</xdr:rowOff>
    </xdr:from>
    <xdr:to>
      <xdr:col>63</xdr:col>
      <xdr:colOff>0</xdr:colOff>
      <xdr:row>18</xdr:row>
      <xdr:rowOff>0</xdr:rowOff>
    </xdr:to>
    <xdr:sp macro="" textlink="">
      <xdr:nvSpPr>
        <xdr:cNvPr id="49" name="フローチャート: 磁気ディスク 48">
          <a:extLst>
            <a:ext uri="{FF2B5EF4-FFF2-40B4-BE49-F238E27FC236}">
              <a16:creationId xmlns:a16="http://schemas.microsoft.com/office/drawing/2014/main" id="{CDC3A9BC-47AC-4B6E-BA7B-D7CBE240A1F9}"/>
            </a:ext>
          </a:extLst>
        </xdr:cNvPr>
        <xdr:cNvSpPr/>
      </xdr:nvSpPr>
      <xdr:spPr>
        <a:xfrm>
          <a:off x="11401426" y="2667001"/>
          <a:ext cx="1200149" cy="76199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 editAs="oneCell">
    <xdr:from>
      <xdr:col>34</xdr:col>
      <xdr:colOff>78442</xdr:colOff>
      <xdr:row>16</xdr:row>
      <xdr:rowOff>190501</xdr:rowOff>
    </xdr:from>
    <xdr:to>
      <xdr:col>36</xdr:col>
      <xdr:colOff>113241</xdr:colOff>
      <xdr:row>17</xdr:row>
      <xdr:rowOff>160269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3797CFA7-1276-4800-A0F4-6E7693B9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9292" y="3238501"/>
          <a:ext cx="434849" cy="1602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33</xdr:col>
      <xdr:colOff>123264</xdr:colOff>
      <xdr:row>26</xdr:row>
      <xdr:rowOff>190499</xdr:rowOff>
    </xdr:from>
    <xdr:to>
      <xdr:col>37</xdr:col>
      <xdr:colOff>192862</xdr:colOff>
      <xdr:row>27</xdr:row>
      <xdr:rowOff>160267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CA230D29-923C-457B-81B9-6177E457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4089" y="5143499"/>
          <a:ext cx="869698" cy="1602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52</xdr:col>
      <xdr:colOff>67236</xdr:colOff>
      <xdr:row>17</xdr:row>
      <xdr:rowOff>89647</xdr:rowOff>
    </xdr:from>
    <xdr:to>
      <xdr:col>56</xdr:col>
      <xdr:colOff>136835</xdr:colOff>
      <xdr:row>18</xdr:row>
      <xdr:rowOff>59415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5E2D448F-1004-4618-9380-0C86F0954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68536" y="3328147"/>
          <a:ext cx="869699" cy="1602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59</xdr:col>
      <xdr:colOff>112059</xdr:colOff>
      <xdr:row>17</xdr:row>
      <xdr:rowOff>22410</xdr:rowOff>
    </xdr:from>
    <xdr:to>
      <xdr:col>63</xdr:col>
      <xdr:colOff>181657</xdr:colOff>
      <xdr:row>17</xdr:row>
      <xdr:rowOff>189121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DFF5741E-3B14-43CF-8931-7978A00B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13534" y="3260910"/>
          <a:ext cx="869698" cy="1667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1</xdr:colOff>
      <xdr:row>17</xdr:row>
      <xdr:rowOff>201705</xdr:rowOff>
    </xdr:from>
    <xdr:to>
      <xdr:col>60</xdr:col>
      <xdr:colOff>2</xdr:colOff>
      <xdr:row>20</xdr:row>
      <xdr:rowOff>0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09394BD1-6E72-4481-BEFB-A649DB1096A3}"/>
            </a:ext>
          </a:extLst>
        </xdr:cNvPr>
        <xdr:cNvCxnSpPr>
          <a:cxnSpLocks/>
          <a:stCxn id="49" idx="3"/>
          <a:endCxn id="48" idx="0"/>
        </xdr:cNvCxnSpPr>
      </xdr:nvCxnSpPr>
      <xdr:spPr>
        <a:xfrm rot="5400000">
          <a:off x="11011742" y="2820239"/>
          <a:ext cx="379320" cy="1600201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22413</xdr:colOff>
      <xdr:row>16</xdr:row>
      <xdr:rowOff>179295</xdr:rowOff>
    </xdr:from>
    <xdr:to>
      <xdr:col>43</xdr:col>
      <xdr:colOff>57212</xdr:colOff>
      <xdr:row>17</xdr:row>
      <xdr:rowOff>149063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321EC266-486E-4A18-B94D-A6F71D5A6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438" y="3227295"/>
          <a:ext cx="434849" cy="1602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0</xdr:colOff>
      <xdr:row>22</xdr:row>
      <xdr:rowOff>0</xdr:rowOff>
    </xdr:from>
    <xdr:to>
      <xdr:col>52</xdr:col>
      <xdr:colOff>0</xdr:colOff>
      <xdr:row>24</xdr:row>
      <xdr:rowOff>1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A384EAB4-5387-49EA-8117-C2CD622A8AF4}"/>
            </a:ext>
          </a:extLst>
        </xdr:cNvPr>
        <xdr:cNvCxnSpPr>
          <a:cxnSpLocks/>
          <a:stCxn id="48" idx="2"/>
          <a:endCxn id="33" idx="1"/>
        </xdr:cNvCxnSpPr>
      </xdr:nvCxnSpPr>
      <xdr:spPr>
        <a:xfrm>
          <a:off x="10401300" y="4191000"/>
          <a:ext cx="0" cy="3810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53</xdr:col>
      <xdr:colOff>11205</xdr:colOff>
      <xdr:row>21</xdr:row>
      <xdr:rowOff>100853</xdr:rowOff>
    </xdr:from>
    <xdr:to>
      <xdr:col>55</xdr:col>
      <xdr:colOff>2720</xdr:colOff>
      <xdr:row>22</xdr:row>
      <xdr:rowOff>74609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1BE867F-7323-4B1F-B02B-DE6E4292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12530" y="4101353"/>
          <a:ext cx="388844" cy="16425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1</xdr:colOff>
      <xdr:row>28</xdr:row>
      <xdr:rowOff>0</xdr:rowOff>
    </xdr:from>
    <xdr:to>
      <xdr:col>60</xdr:col>
      <xdr:colOff>1</xdr:colOff>
      <xdr:row>30</xdr:row>
      <xdr:rowOff>2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073D296F-4BA7-4004-AD69-4359419712EA}"/>
            </a:ext>
          </a:extLst>
        </xdr:cNvPr>
        <xdr:cNvCxnSpPr>
          <a:cxnSpLocks/>
          <a:stCxn id="31" idx="3"/>
          <a:endCxn id="63" idx="0"/>
        </xdr:cNvCxnSpPr>
      </xdr:nvCxnSpPr>
      <xdr:spPr>
        <a:xfrm rot="5400000">
          <a:off x="11010900" y="4724401"/>
          <a:ext cx="381002" cy="1600200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37</xdr:row>
      <xdr:rowOff>129268</xdr:rowOff>
    </xdr:from>
    <xdr:to>
      <xdr:col>55</xdr:col>
      <xdr:colOff>0</xdr:colOff>
      <xdr:row>41</xdr:row>
      <xdr:rowOff>129267</xdr:rowOff>
    </xdr:to>
    <xdr:sp macro="" textlink="">
      <xdr:nvSpPr>
        <xdr:cNvPr id="59" name="フローチャート: 磁気ディスク 58">
          <a:extLst>
            <a:ext uri="{FF2B5EF4-FFF2-40B4-BE49-F238E27FC236}">
              <a16:creationId xmlns:a16="http://schemas.microsoft.com/office/drawing/2014/main" id="{C8243581-4112-4AB7-A083-83526E55D4C5}"/>
            </a:ext>
          </a:extLst>
        </xdr:cNvPr>
        <xdr:cNvSpPr/>
      </xdr:nvSpPr>
      <xdr:spPr>
        <a:xfrm>
          <a:off x="9667876" y="8511268"/>
          <a:ext cx="1183821" cy="76199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</xdr:txBody>
    </xdr:sp>
    <xdr:clientData/>
  </xdr:twoCellAnchor>
  <xdr:twoCellAnchor>
    <xdr:from>
      <xdr:col>52</xdr:col>
      <xdr:colOff>0</xdr:colOff>
      <xdr:row>28</xdr:row>
      <xdr:rowOff>0</xdr:rowOff>
    </xdr:from>
    <xdr:to>
      <xdr:col>52</xdr:col>
      <xdr:colOff>0</xdr:colOff>
      <xdr:row>30</xdr:row>
      <xdr:rowOff>2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11225708-828F-41D5-90C6-930768C9DFC5}"/>
            </a:ext>
          </a:extLst>
        </xdr:cNvPr>
        <xdr:cNvCxnSpPr>
          <a:cxnSpLocks/>
          <a:stCxn id="33" idx="3"/>
          <a:endCxn id="63" idx="0"/>
        </xdr:cNvCxnSpPr>
      </xdr:nvCxnSpPr>
      <xdr:spPr>
        <a:xfrm>
          <a:off x="10401300" y="5334000"/>
          <a:ext cx="0" cy="381002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52</xdr:col>
      <xdr:colOff>67235</xdr:colOff>
      <xdr:row>26</xdr:row>
      <xdr:rowOff>201705</xdr:rowOff>
    </xdr:from>
    <xdr:to>
      <xdr:col>54</xdr:col>
      <xdr:colOff>187771</xdr:colOff>
      <xdr:row>27</xdr:row>
      <xdr:rowOff>171473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F87EB8B3-3D9C-41EE-9345-CDB83C14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68535" y="5145180"/>
          <a:ext cx="520586" cy="16979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60</xdr:col>
      <xdr:colOff>78441</xdr:colOff>
      <xdr:row>26</xdr:row>
      <xdr:rowOff>201705</xdr:rowOff>
    </xdr:from>
    <xdr:to>
      <xdr:col>63</xdr:col>
      <xdr:colOff>1672</xdr:colOff>
      <xdr:row>27</xdr:row>
      <xdr:rowOff>171473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3936C42-69E1-40EE-9142-B32CC9E3C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79941" y="5145180"/>
          <a:ext cx="520586" cy="16979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49</xdr:col>
      <xdr:colOff>0</xdr:colOff>
      <xdr:row>30</xdr:row>
      <xdr:rowOff>2</xdr:rowOff>
    </xdr:from>
    <xdr:to>
      <xdr:col>55</xdr:col>
      <xdr:colOff>0</xdr:colOff>
      <xdr:row>32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1965AF8-65D5-48F8-9C0B-332BA6A6D82B}"/>
            </a:ext>
          </a:extLst>
        </xdr:cNvPr>
        <xdr:cNvSpPr/>
      </xdr:nvSpPr>
      <xdr:spPr>
        <a:xfrm>
          <a:off x="9801225" y="5715002"/>
          <a:ext cx="1200150" cy="38099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</xdr:colOff>
      <xdr:row>32</xdr:row>
      <xdr:rowOff>0</xdr:rowOff>
    </xdr:from>
    <xdr:to>
      <xdr:col>52</xdr:col>
      <xdr:colOff>1</xdr:colOff>
      <xdr:row>37</xdr:row>
      <xdr:rowOff>129268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68CD6F33-554C-4384-A5EB-5CF8F1957F6D}"/>
            </a:ext>
          </a:extLst>
        </xdr:cNvPr>
        <xdr:cNvCxnSpPr>
          <a:stCxn id="63" idx="2"/>
          <a:endCxn id="59" idx="1"/>
        </xdr:cNvCxnSpPr>
      </xdr:nvCxnSpPr>
      <xdr:spPr>
        <a:xfrm>
          <a:off x="10259787" y="6096000"/>
          <a:ext cx="0" cy="2415268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56030</xdr:colOff>
      <xdr:row>20</xdr:row>
      <xdr:rowOff>22412</xdr:rowOff>
    </xdr:from>
    <xdr:to>
      <xdr:col>66</xdr:col>
      <xdr:colOff>22412</xdr:colOff>
      <xdr:row>22</xdr:row>
      <xdr:rowOff>33619</xdr:rowOff>
    </xdr:to>
    <xdr:sp macro="" textlink="">
      <xdr:nvSpPr>
        <xdr:cNvPr id="65" name="吹き出し: 四角形 64">
          <a:extLst>
            <a:ext uri="{FF2B5EF4-FFF2-40B4-BE49-F238E27FC236}">
              <a16:creationId xmlns:a16="http://schemas.microsoft.com/office/drawing/2014/main" id="{97DF2FBB-7508-4BCF-B3B1-939B9343AEAA}"/>
            </a:ext>
          </a:extLst>
        </xdr:cNvPr>
        <xdr:cNvSpPr/>
      </xdr:nvSpPr>
      <xdr:spPr>
        <a:xfrm>
          <a:off x="11257430" y="3832412"/>
          <a:ext cx="1966632" cy="392207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測定値」を付与する</a:t>
          </a:r>
        </a:p>
      </xdr:txBody>
    </xdr:sp>
    <xdr:clientData/>
  </xdr:twoCellAnchor>
  <xdr:twoCellAnchor>
    <xdr:from>
      <xdr:col>56</xdr:col>
      <xdr:colOff>56030</xdr:colOff>
      <xdr:row>30</xdr:row>
      <xdr:rowOff>67237</xdr:rowOff>
    </xdr:from>
    <xdr:to>
      <xdr:col>68</xdr:col>
      <xdr:colOff>112059</xdr:colOff>
      <xdr:row>32</xdr:row>
      <xdr:rowOff>78443</xdr:rowOff>
    </xdr:to>
    <xdr:sp macro="" textlink="">
      <xdr:nvSpPr>
        <xdr:cNvPr id="66" name="吹き出し: 四角形 65">
          <a:extLst>
            <a:ext uri="{FF2B5EF4-FFF2-40B4-BE49-F238E27FC236}">
              <a16:creationId xmlns:a16="http://schemas.microsoft.com/office/drawing/2014/main" id="{039FA6D3-66B0-474B-9FA5-B3C6BE1D81F4}"/>
            </a:ext>
          </a:extLst>
        </xdr:cNvPr>
        <xdr:cNvSpPr/>
      </xdr:nvSpPr>
      <xdr:spPr>
        <a:xfrm>
          <a:off x="11257430" y="5782237"/>
          <a:ext cx="2456329" cy="392206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製品形」を付与する</a:t>
          </a:r>
        </a:p>
      </xdr:txBody>
    </xdr:sp>
    <xdr:clientData/>
  </xdr:twoCellAnchor>
  <xdr:twoCellAnchor editAs="oneCell">
    <xdr:from>
      <xdr:col>53</xdr:col>
      <xdr:colOff>11205</xdr:colOff>
      <xdr:row>31</xdr:row>
      <xdr:rowOff>89647</xdr:rowOff>
    </xdr:from>
    <xdr:to>
      <xdr:col>55</xdr:col>
      <xdr:colOff>33617</xdr:colOff>
      <xdr:row>32</xdr:row>
      <xdr:rowOff>40021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C514B225-BD7A-4AE8-9CF4-96F21F9DF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12530" y="5995147"/>
          <a:ext cx="422462" cy="1408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54</xdr:col>
      <xdr:colOff>56029</xdr:colOff>
      <xdr:row>40</xdr:row>
      <xdr:rowOff>140474</xdr:rowOff>
    </xdr:from>
    <xdr:to>
      <xdr:col>56</xdr:col>
      <xdr:colOff>81303</xdr:colOff>
      <xdr:row>41</xdr:row>
      <xdr:rowOff>102395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966A64F2-5293-4382-A004-7D949187E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10422" y="9093974"/>
          <a:ext cx="419881" cy="1524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32</xdr:col>
      <xdr:colOff>67236</xdr:colOff>
      <xdr:row>16</xdr:row>
      <xdr:rowOff>179293</xdr:rowOff>
    </xdr:from>
    <xdr:to>
      <xdr:col>34</xdr:col>
      <xdr:colOff>78442</xdr:colOff>
      <xdr:row>17</xdr:row>
      <xdr:rowOff>156882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9F3848D5-E1FC-48E5-9B7F-2F8E9FF1F7B4}"/>
            </a:ext>
          </a:extLst>
        </xdr:cNvPr>
        <xdr:cNvSpPr txBox="1"/>
      </xdr:nvSpPr>
      <xdr:spPr>
        <a:xfrm>
          <a:off x="6468036" y="3227293"/>
          <a:ext cx="411256" cy="168089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50</xdr:col>
      <xdr:colOff>44824</xdr:colOff>
      <xdr:row>17</xdr:row>
      <xdr:rowOff>78440</xdr:rowOff>
    </xdr:from>
    <xdr:to>
      <xdr:col>52</xdr:col>
      <xdr:colOff>56030</xdr:colOff>
      <xdr:row>18</xdr:row>
      <xdr:rowOff>56029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300890E1-62E4-4A62-8AF6-75E886DE2E8B}"/>
            </a:ext>
          </a:extLst>
        </xdr:cNvPr>
        <xdr:cNvSpPr txBox="1"/>
      </xdr:nvSpPr>
      <xdr:spPr>
        <a:xfrm>
          <a:off x="10046074" y="3316940"/>
          <a:ext cx="411256" cy="168089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52</xdr:col>
      <xdr:colOff>22413</xdr:colOff>
      <xdr:row>40</xdr:row>
      <xdr:rowOff>144554</xdr:rowOff>
    </xdr:from>
    <xdr:to>
      <xdr:col>54</xdr:col>
      <xdr:colOff>33619</xdr:colOff>
      <xdr:row>41</xdr:row>
      <xdr:rowOff>131668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7590C535-F677-4D32-9D73-40A2B0E2AF98}"/>
            </a:ext>
          </a:extLst>
        </xdr:cNvPr>
        <xdr:cNvSpPr txBox="1"/>
      </xdr:nvSpPr>
      <xdr:spPr>
        <a:xfrm>
          <a:off x="10282199" y="9098054"/>
          <a:ext cx="405813" cy="17761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32</xdr:col>
      <xdr:colOff>57149</xdr:colOff>
      <xdr:row>23</xdr:row>
      <xdr:rowOff>190502</xdr:rowOff>
    </xdr:from>
    <xdr:to>
      <xdr:col>34</xdr:col>
      <xdr:colOff>124383</xdr:colOff>
      <xdr:row>25</xdr:row>
      <xdr:rowOff>89648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D5141F90-06D1-41AE-9E5B-BE882640B31A}"/>
            </a:ext>
          </a:extLst>
        </xdr:cNvPr>
        <xdr:cNvSpPr txBox="1"/>
      </xdr:nvSpPr>
      <xdr:spPr>
        <a:xfrm>
          <a:off x="6457949" y="4572002"/>
          <a:ext cx="467284" cy="280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68354</xdr:colOff>
      <xdr:row>13</xdr:row>
      <xdr:rowOff>179296</xdr:rowOff>
    </xdr:from>
    <xdr:to>
      <xdr:col>53</xdr:col>
      <xdr:colOff>135588</xdr:colOff>
      <xdr:row>15</xdr:row>
      <xdr:rowOff>78442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73493DB-374F-42AB-8B2C-CE75DD4EA470}"/>
            </a:ext>
          </a:extLst>
        </xdr:cNvPr>
        <xdr:cNvSpPr txBox="1"/>
      </xdr:nvSpPr>
      <xdr:spPr>
        <a:xfrm>
          <a:off x="10269629" y="2655796"/>
          <a:ext cx="467284" cy="280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T3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113177</xdr:colOff>
      <xdr:row>13</xdr:row>
      <xdr:rowOff>168090</xdr:rowOff>
    </xdr:from>
    <xdr:to>
      <xdr:col>61</xdr:col>
      <xdr:colOff>180411</xdr:colOff>
      <xdr:row>15</xdr:row>
      <xdr:rowOff>67236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BB127C05-BB1D-4C19-B1F4-013515488C1B}"/>
            </a:ext>
          </a:extLst>
        </xdr:cNvPr>
        <xdr:cNvSpPr txBox="1"/>
      </xdr:nvSpPr>
      <xdr:spPr>
        <a:xfrm>
          <a:off x="11914652" y="2644590"/>
          <a:ext cx="467284" cy="280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45942</xdr:colOff>
      <xdr:row>37</xdr:row>
      <xdr:rowOff>140475</xdr:rowOff>
    </xdr:from>
    <xdr:to>
      <xdr:col>53</xdr:col>
      <xdr:colOff>113176</xdr:colOff>
      <xdr:row>39</xdr:row>
      <xdr:rowOff>50827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3920A497-95AD-4896-9CBB-E5DCAE7B9087}"/>
            </a:ext>
          </a:extLst>
        </xdr:cNvPr>
        <xdr:cNvSpPr txBox="1"/>
      </xdr:nvSpPr>
      <xdr:spPr>
        <a:xfrm>
          <a:off x="10108425" y="8522475"/>
          <a:ext cx="461841" cy="291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T4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89647</xdr:colOff>
      <xdr:row>26</xdr:row>
      <xdr:rowOff>179293</xdr:rowOff>
    </xdr:from>
    <xdr:to>
      <xdr:col>33</xdr:col>
      <xdr:colOff>100853</xdr:colOff>
      <xdr:row>27</xdr:row>
      <xdr:rowOff>156882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D756C40F-3477-42D1-9E42-D06EC72CABB0}"/>
            </a:ext>
          </a:extLst>
        </xdr:cNvPr>
        <xdr:cNvSpPr txBox="1"/>
      </xdr:nvSpPr>
      <xdr:spPr>
        <a:xfrm>
          <a:off x="6290422" y="5132293"/>
          <a:ext cx="411256" cy="168089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51</xdr:col>
      <xdr:colOff>166690</xdr:colOff>
      <xdr:row>81</xdr:row>
      <xdr:rowOff>188570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B38568D7-066A-4B31-8A11-BC5AED7BB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0050" y="12192000"/>
          <a:ext cx="9967915" cy="5903570"/>
        </a:xfrm>
        <a:prstGeom prst="rect">
          <a:avLst/>
        </a:prstGeom>
      </xdr:spPr>
    </xdr:pic>
    <xdr:clientData/>
  </xdr:twoCellAnchor>
  <xdr:twoCellAnchor>
    <xdr:from>
      <xdr:col>58</xdr:col>
      <xdr:colOff>150081</xdr:colOff>
      <xdr:row>23</xdr:row>
      <xdr:rowOff>114061</xdr:rowOff>
    </xdr:from>
    <xdr:to>
      <xdr:col>61</xdr:col>
      <xdr:colOff>15608</xdr:colOff>
      <xdr:row>25</xdr:row>
      <xdr:rowOff>125266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4F866B90-CF78-C417-8E2F-339F4C653E45}"/>
            </a:ext>
          </a:extLst>
        </xdr:cNvPr>
        <xdr:cNvSpPr txBox="1"/>
      </xdr:nvSpPr>
      <xdr:spPr>
        <a:xfrm>
          <a:off x="11593688" y="4495561"/>
          <a:ext cx="457439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147678</xdr:colOff>
      <xdr:row>13</xdr:row>
      <xdr:rowOff>134472</xdr:rowOff>
    </xdr:from>
    <xdr:to>
      <xdr:col>42</xdr:col>
      <xdr:colOff>13207</xdr:colOff>
      <xdr:row>15</xdr:row>
      <xdr:rowOff>145677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D4EEEF3E-A8F2-D3B7-1876-FD70046B895A}"/>
            </a:ext>
          </a:extLst>
        </xdr:cNvPr>
        <xdr:cNvSpPr txBox="1"/>
      </xdr:nvSpPr>
      <xdr:spPr>
        <a:xfrm>
          <a:off x="7842518" y="2610972"/>
          <a:ext cx="457439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8B22-8B3E-4092-B6D2-BFCB1BDC6AC0}">
  <sheetPr>
    <pageSetUpPr fitToPage="1"/>
  </sheetPr>
  <dimension ref="A1:AD77"/>
  <sheetViews>
    <sheetView showGridLines="0" tabSelected="1" zoomScale="70" zoomScaleNormal="70" workbookViewId="0"/>
  </sheetViews>
  <sheetFormatPr defaultColWidth="3.125" defaultRowHeight="15"/>
  <cols>
    <col min="1" max="16384" width="3.125" style="1"/>
  </cols>
  <sheetData>
    <row r="1" spans="1:14" ht="22.15">
      <c r="A1" s="33" t="s">
        <v>65</v>
      </c>
    </row>
    <row r="3" spans="1:14">
      <c r="B3" s="1" t="s">
        <v>34</v>
      </c>
    </row>
    <row r="4" spans="1:14">
      <c r="C4" s="1" t="s">
        <v>35</v>
      </c>
    </row>
    <row r="6" spans="1:14">
      <c r="B6" s="1" t="s">
        <v>38</v>
      </c>
    </row>
    <row r="7" spans="1:14">
      <c r="C7" s="21" t="s">
        <v>4</v>
      </c>
      <c r="D7" s="35" t="s">
        <v>5</v>
      </c>
      <c r="E7" s="36"/>
      <c r="F7" s="36"/>
      <c r="G7" s="36"/>
      <c r="H7" s="36"/>
      <c r="I7" s="36"/>
      <c r="J7" s="36"/>
      <c r="K7" s="36"/>
      <c r="L7" s="36"/>
      <c r="M7" s="36"/>
      <c r="N7" s="37"/>
    </row>
    <row r="8" spans="1:14">
      <c r="C8" s="22">
        <v>1</v>
      </c>
      <c r="D8" s="2" t="s">
        <v>49</v>
      </c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>
      <c r="C9" s="22">
        <v>2</v>
      </c>
      <c r="D9" s="2" t="s">
        <v>50</v>
      </c>
      <c r="E9" s="3"/>
      <c r="F9" s="3"/>
      <c r="G9" s="3"/>
      <c r="H9" s="3"/>
      <c r="I9" s="3"/>
      <c r="J9" s="3"/>
      <c r="K9" s="3"/>
      <c r="L9" s="3"/>
      <c r="M9" s="3"/>
      <c r="N9" s="4"/>
    </row>
    <row r="11" spans="1:14">
      <c r="B11" s="1" t="s">
        <v>39</v>
      </c>
    </row>
    <row r="12" spans="1:14">
      <c r="C12" s="1" t="s">
        <v>47</v>
      </c>
    </row>
    <row r="34" spans="3:30">
      <c r="D34" s="23" t="s">
        <v>4</v>
      </c>
      <c r="E34" s="8" t="s">
        <v>30</v>
      </c>
      <c r="F34" s="9"/>
      <c r="G34" s="9"/>
      <c r="H34" s="9"/>
      <c r="I34" s="9"/>
      <c r="J34" s="9"/>
      <c r="K34" s="10"/>
      <c r="L34" s="8" t="s">
        <v>31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</row>
    <row r="35" spans="3:30">
      <c r="D35" s="22">
        <v>1</v>
      </c>
      <c r="E35" s="2" t="s">
        <v>36</v>
      </c>
      <c r="F35" s="3"/>
      <c r="G35" s="3"/>
      <c r="H35" s="3"/>
      <c r="I35" s="3"/>
      <c r="J35" s="3"/>
      <c r="K35" s="4"/>
      <c r="L35" s="2" t="s">
        <v>37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</row>
    <row r="36" spans="3:30">
      <c r="D36" s="34">
        <v>2</v>
      </c>
      <c r="E36" s="12" t="s">
        <v>40</v>
      </c>
      <c r="F36" s="12"/>
      <c r="G36" s="12"/>
      <c r="H36" s="12"/>
      <c r="I36" s="12"/>
      <c r="J36" s="12"/>
      <c r="K36" s="13"/>
      <c r="L36" s="11" t="s">
        <v>48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</row>
    <row r="37" spans="3:30">
      <c r="D37" s="22">
        <v>3</v>
      </c>
      <c r="E37" s="12" t="s">
        <v>51</v>
      </c>
      <c r="F37" s="12"/>
      <c r="G37" s="12"/>
      <c r="H37" s="12"/>
      <c r="I37" s="12"/>
      <c r="J37" s="12"/>
      <c r="K37" s="13"/>
      <c r="L37" s="11" t="s">
        <v>57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</row>
    <row r="38" spans="3:30">
      <c r="D38" s="34">
        <v>4</v>
      </c>
      <c r="E38" s="2" t="s">
        <v>53</v>
      </c>
      <c r="F38" s="3"/>
      <c r="G38" s="3"/>
      <c r="H38" s="3"/>
      <c r="I38" s="3"/>
      <c r="J38" s="3"/>
      <c r="K38" s="4"/>
      <c r="L38" s="11" t="s">
        <v>58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</row>
    <row r="39" spans="3:30">
      <c r="D39" s="22">
        <v>5</v>
      </c>
      <c r="E39" s="2" t="s">
        <v>60</v>
      </c>
      <c r="F39" s="3"/>
      <c r="G39" s="3"/>
      <c r="H39" s="3"/>
      <c r="I39" s="3"/>
      <c r="J39" s="3"/>
      <c r="K39" s="4"/>
      <c r="L39" s="11" t="s">
        <v>61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</row>
    <row r="40" spans="3:30">
      <c r="D40" s="34">
        <v>6</v>
      </c>
      <c r="E40" s="2" t="s">
        <v>54</v>
      </c>
      <c r="F40" s="3"/>
      <c r="G40" s="3"/>
      <c r="H40" s="3"/>
      <c r="I40" s="3"/>
      <c r="J40" s="3"/>
      <c r="K40" s="4"/>
      <c r="L40" s="2" t="s">
        <v>62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</row>
    <row r="41" spans="3:30">
      <c r="D41" s="22">
        <v>7</v>
      </c>
      <c r="E41" s="2" t="s">
        <v>55</v>
      </c>
      <c r="F41" s="3"/>
      <c r="G41" s="3"/>
      <c r="H41" s="3"/>
      <c r="I41" s="3"/>
      <c r="J41" s="3"/>
      <c r="K41" s="4"/>
      <c r="L41" s="2" t="s">
        <v>63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</row>
    <row r="42" spans="3:30">
      <c r="D42" s="22">
        <v>8</v>
      </c>
      <c r="E42" s="2" t="s">
        <v>56</v>
      </c>
      <c r="F42" s="3"/>
      <c r="G42" s="3"/>
      <c r="H42" s="3"/>
      <c r="I42" s="3"/>
      <c r="J42" s="3"/>
      <c r="K42" s="4"/>
      <c r="L42" s="2" t="s">
        <v>64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</row>
    <row r="44" spans="3:30">
      <c r="C44" s="1" t="s">
        <v>42</v>
      </c>
    </row>
    <row r="66" spans="2:30">
      <c r="D66" s="23" t="s">
        <v>4</v>
      </c>
      <c r="E66" s="8" t="s">
        <v>30</v>
      </c>
      <c r="F66" s="9"/>
      <c r="G66" s="9"/>
      <c r="H66" s="9"/>
      <c r="I66" s="9"/>
      <c r="J66" s="9"/>
      <c r="K66" s="10"/>
      <c r="L66" s="8" t="s">
        <v>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</row>
    <row r="67" spans="2:30">
      <c r="D67" s="22">
        <v>1</v>
      </c>
      <c r="E67" s="2" t="s">
        <v>36</v>
      </c>
      <c r="F67" s="3"/>
      <c r="G67" s="3"/>
      <c r="H67" s="3"/>
      <c r="I67" s="3"/>
      <c r="J67" s="3"/>
      <c r="K67" s="4"/>
      <c r="L67" s="2" t="s">
        <v>37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</row>
    <row r="68" spans="2:30">
      <c r="D68" s="34">
        <v>2</v>
      </c>
      <c r="E68" s="12" t="s">
        <v>66</v>
      </c>
      <c r="F68" s="12"/>
      <c r="G68" s="12"/>
      <c r="H68" s="12"/>
      <c r="I68" s="12"/>
      <c r="J68" s="12"/>
      <c r="K68" s="13"/>
      <c r="L68" s="11" t="s">
        <v>48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</row>
    <row r="69" spans="2:30">
      <c r="D69" s="22">
        <v>3</v>
      </c>
      <c r="E69" s="12" t="s">
        <v>51</v>
      </c>
      <c r="F69" s="12"/>
      <c r="G69" s="12"/>
      <c r="H69" s="12"/>
      <c r="I69" s="12"/>
      <c r="J69" s="12"/>
      <c r="K69" s="13"/>
      <c r="L69" s="11" t="s">
        <v>57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</row>
    <row r="70" spans="2:30">
      <c r="D70" s="34">
        <v>4</v>
      </c>
      <c r="E70" s="2" t="s">
        <v>53</v>
      </c>
      <c r="F70" s="3"/>
      <c r="G70" s="3"/>
      <c r="H70" s="3"/>
      <c r="I70" s="3"/>
      <c r="J70" s="3"/>
      <c r="K70" s="4"/>
      <c r="L70" s="11" t="s">
        <v>67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</row>
    <row r="71" spans="2:30">
      <c r="D71" s="22">
        <v>5</v>
      </c>
      <c r="E71" s="2" t="s">
        <v>60</v>
      </c>
      <c r="F71" s="3"/>
      <c r="G71" s="3"/>
      <c r="H71" s="3"/>
      <c r="I71" s="3"/>
      <c r="J71" s="3"/>
      <c r="K71" s="4"/>
      <c r="L71" s="11" t="s">
        <v>68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</row>
    <row r="72" spans="2:30">
      <c r="D72" s="34">
        <v>6</v>
      </c>
      <c r="E72" s="2" t="s">
        <v>69</v>
      </c>
      <c r="F72" s="3"/>
      <c r="G72" s="3"/>
      <c r="H72" s="3"/>
      <c r="I72" s="3"/>
      <c r="J72" s="3"/>
      <c r="K72" s="4"/>
      <c r="L72" s="2" t="s">
        <v>72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</row>
    <row r="73" spans="2:30">
      <c r="D73" s="22">
        <v>7</v>
      </c>
      <c r="E73" s="41" t="s">
        <v>70</v>
      </c>
      <c r="F73" s="3"/>
      <c r="G73" s="3"/>
      <c r="H73" s="3"/>
      <c r="I73" s="3"/>
      <c r="J73" s="3"/>
      <c r="K73" s="4"/>
      <c r="L73" s="2" t="s">
        <v>73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</row>
    <row r="74" spans="2:30">
      <c r="D74" s="22">
        <v>8</v>
      </c>
      <c r="E74" s="42" t="s">
        <v>71</v>
      </c>
      <c r="F74" s="3"/>
      <c r="G74" s="3"/>
      <c r="H74" s="3"/>
      <c r="I74" s="3"/>
      <c r="J74" s="3"/>
      <c r="K74" s="4"/>
      <c r="L74" s="2" t="s">
        <v>74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</row>
    <row r="77" spans="2:30">
      <c r="B77" s="1" t="s">
        <v>33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0B1B-939C-469E-9D37-F1C363C33655}">
  <dimension ref="A1:BZ51"/>
  <sheetViews>
    <sheetView showGridLines="0" zoomScale="55" zoomScaleNormal="55" workbookViewId="0"/>
  </sheetViews>
  <sheetFormatPr defaultColWidth="2.625" defaultRowHeight="15"/>
  <cols>
    <col min="1" max="16384" width="2.625" style="1"/>
  </cols>
  <sheetData>
    <row r="1" spans="1:78">
      <c r="A1" s="1" t="s">
        <v>0</v>
      </c>
    </row>
    <row r="2" spans="1:78">
      <c r="B2" s="1" t="s">
        <v>1</v>
      </c>
    </row>
    <row r="3" spans="1:78">
      <c r="C3" s="5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7"/>
    </row>
    <row r="4" spans="1:78">
      <c r="C4" s="14"/>
      <c r="BZ4" s="15"/>
    </row>
    <row r="5" spans="1:78">
      <c r="C5" s="14"/>
      <c r="BZ5" s="15"/>
    </row>
    <row r="6" spans="1:78">
      <c r="C6" s="14"/>
      <c r="BZ6" s="15"/>
    </row>
    <row r="7" spans="1:78">
      <c r="C7" s="14"/>
      <c r="BZ7" s="15"/>
    </row>
    <row r="8" spans="1:78">
      <c r="C8" s="14"/>
      <c r="BZ8" s="15"/>
    </row>
    <row r="9" spans="1:78">
      <c r="C9" s="14"/>
      <c r="BZ9" s="15"/>
    </row>
    <row r="10" spans="1:78">
      <c r="C10" s="14"/>
      <c r="BZ10" s="15"/>
    </row>
    <row r="11" spans="1:78">
      <c r="C11" s="14"/>
      <c r="BZ11" s="15"/>
    </row>
    <row r="12" spans="1:78">
      <c r="C12" s="14"/>
      <c r="BZ12" s="15"/>
    </row>
    <row r="13" spans="1:78">
      <c r="C13" s="14"/>
      <c r="BZ13" s="15"/>
    </row>
    <row r="14" spans="1:78">
      <c r="C14" s="14"/>
      <c r="BZ14" s="15"/>
    </row>
    <row r="15" spans="1:78">
      <c r="C15" s="14"/>
      <c r="BZ15" s="15"/>
    </row>
    <row r="16" spans="1:78">
      <c r="C16" s="14"/>
      <c r="BZ16" s="15"/>
    </row>
    <row r="17" spans="3:78">
      <c r="C17" s="14"/>
      <c r="BZ17" s="15"/>
    </row>
    <row r="18" spans="3:78">
      <c r="C18" s="14"/>
      <c r="BZ18" s="15"/>
    </row>
    <row r="19" spans="3:78">
      <c r="C19" s="14"/>
      <c r="BZ19" s="15"/>
    </row>
    <row r="20" spans="3:78">
      <c r="C20" s="14"/>
      <c r="BZ20" s="15"/>
    </row>
    <row r="21" spans="3:78">
      <c r="C21" s="14"/>
      <c r="BZ21" s="15"/>
    </row>
    <row r="22" spans="3:78">
      <c r="C22" s="14"/>
      <c r="BZ22" s="15"/>
    </row>
    <row r="23" spans="3:78">
      <c r="C23" s="14"/>
      <c r="BZ23" s="15"/>
    </row>
    <row r="24" spans="3:78">
      <c r="C24" s="14"/>
      <c r="BZ24" s="15"/>
    </row>
    <row r="25" spans="3:78">
      <c r="C25" s="14"/>
      <c r="BZ25" s="15"/>
    </row>
    <row r="26" spans="3:78">
      <c r="C26" s="14"/>
      <c r="BZ26" s="15"/>
    </row>
    <row r="27" spans="3:78">
      <c r="C27" s="14"/>
      <c r="BZ27" s="15"/>
    </row>
    <row r="28" spans="3:78">
      <c r="C28" s="14"/>
      <c r="BZ28" s="15"/>
    </row>
    <row r="29" spans="3:78">
      <c r="C29" s="14"/>
      <c r="BZ29" s="15"/>
    </row>
    <row r="30" spans="3:78">
      <c r="C30" s="14"/>
      <c r="BZ30" s="15"/>
    </row>
    <row r="31" spans="3:78">
      <c r="C31" s="14"/>
      <c r="BZ31" s="15"/>
    </row>
    <row r="32" spans="3:78">
      <c r="C32" s="14"/>
      <c r="BZ32" s="15"/>
    </row>
    <row r="33" spans="3:78">
      <c r="C33" s="14"/>
      <c r="BZ33" s="15"/>
    </row>
    <row r="34" spans="3:78">
      <c r="C34" s="14"/>
      <c r="BZ34" s="15"/>
    </row>
    <row r="35" spans="3:78">
      <c r="C35" s="18" t="s">
        <v>43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20"/>
    </row>
    <row r="36" spans="3:78">
      <c r="C36" s="14"/>
      <c r="BZ36" s="15"/>
    </row>
    <row r="37" spans="3:78">
      <c r="C37" s="14"/>
      <c r="BZ37" s="15"/>
    </row>
    <row r="38" spans="3:78">
      <c r="C38" s="14"/>
      <c r="AL38" s="8" t="s">
        <v>32</v>
      </c>
      <c r="AM38" s="9"/>
      <c r="AN38" s="10"/>
      <c r="AO38" s="23" t="s">
        <v>30</v>
      </c>
      <c r="AP38" s="9"/>
      <c r="AQ38" s="9"/>
      <c r="AR38" s="9"/>
      <c r="AS38" s="9"/>
      <c r="AT38" s="9"/>
      <c r="AU38" s="10"/>
      <c r="BZ38" s="15"/>
    </row>
    <row r="39" spans="3:78">
      <c r="C39" s="14"/>
      <c r="AL39" s="38" t="s">
        <v>75</v>
      </c>
      <c r="AM39" s="12"/>
      <c r="AN39" s="13"/>
      <c r="AO39" s="2" t="s">
        <v>76</v>
      </c>
      <c r="AP39" s="3"/>
      <c r="AQ39" s="3"/>
      <c r="AR39" s="3"/>
      <c r="AS39" s="3"/>
      <c r="AT39" s="3"/>
      <c r="AU39" s="4"/>
      <c r="BZ39" s="15"/>
    </row>
    <row r="40" spans="3:78">
      <c r="C40" s="14"/>
      <c r="AL40" s="39"/>
      <c r="AN40" s="15"/>
      <c r="AO40" s="2" t="s">
        <v>77</v>
      </c>
      <c r="AP40" s="3"/>
      <c r="AQ40" s="3"/>
      <c r="AR40" s="3"/>
      <c r="AS40" s="3"/>
      <c r="AT40" s="3"/>
      <c r="AU40" s="4"/>
      <c r="BZ40" s="15"/>
    </row>
    <row r="41" spans="3:78">
      <c r="C41" s="14"/>
      <c r="AL41" s="39"/>
      <c r="AN41" s="15"/>
      <c r="AO41" s="2" t="s">
        <v>78</v>
      </c>
      <c r="AP41" s="3"/>
      <c r="AQ41" s="3"/>
      <c r="AR41" s="3"/>
      <c r="AS41" s="3"/>
      <c r="AT41" s="3"/>
      <c r="AU41" s="4"/>
      <c r="BZ41" s="15"/>
    </row>
    <row r="42" spans="3:78">
      <c r="C42" s="14"/>
      <c r="AL42" s="39"/>
      <c r="AN42" s="15"/>
      <c r="AO42" s="2" t="s">
        <v>79</v>
      </c>
      <c r="AP42" s="3"/>
      <c r="AQ42" s="3"/>
      <c r="AR42" s="3"/>
      <c r="AS42" s="3"/>
      <c r="AT42" s="3"/>
      <c r="AU42" s="4"/>
      <c r="BZ42" s="15"/>
    </row>
    <row r="43" spans="3:78">
      <c r="C43" s="14"/>
      <c r="AL43" s="39"/>
      <c r="AN43" s="15"/>
      <c r="AO43" s="2" t="s">
        <v>80</v>
      </c>
      <c r="AP43" s="3"/>
      <c r="AQ43" s="3"/>
      <c r="AR43" s="3"/>
      <c r="AS43" s="3"/>
      <c r="AT43" s="3"/>
      <c r="AU43" s="4"/>
      <c r="BZ43" s="15"/>
    </row>
    <row r="44" spans="3:78">
      <c r="C44" s="14"/>
      <c r="AL44" s="39"/>
      <c r="AN44" s="15"/>
      <c r="AO44" s="2" t="s">
        <v>81</v>
      </c>
      <c r="AP44" s="3"/>
      <c r="AQ44" s="3"/>
      <c r="AR44" s="3"/>
      <c r="AS44" s="3"/>
      <c r="AT44" s="3"/>
      <c r="AU44" s="4"/>
      <c r="BZ44" s="15"/>
    </row>
    <row r="45" spans="3:78">
      <c r="C45" s="14"/>
      <c r="AL45" s="39"/>
      <c r="AN45" s="15"/>
      <c r="AO45" s="2" t="s">
        <v>82</v>
      </c>
      <c r="AP45" s="3"/>
      <c r="AQ45" s="3"/>
      <c r="AR45" s="3"/>
      <c r="AS45" s="3"/>
      <c r="AT45" s="3"/>
      <c r="AU45" s="4"/>
      <c r="BZ45" s="15"/>
    </row>
    <row r="46" spans="3:78">
      <c r="C46" s="14"/>
      <c r="AL46" s="39"/>
      <c r="AN46" s="15"/>
      <c r="AO46" s="2" t="s">
        <v>83</v>
      </c>
      <c r="AP46" s="3"/>
      <c r="AQ46" s="3"/>
      <c r="AR46" s="3"/>
      <c r="AS46" s="3"/>
      <c r="AT46" s="3"/>
      <c r="AU46" s="4"/>
      <c r="BZ46" s="15"/>
    </row>
    <row r="47" spans="3:78">
      <c r="C47" s="14"/>
      <c r="AL47" s="40"/>
      <c r="AM47" s="16"/>
      <c r="AN47" s="17"/>
      <c r="AO47" s="2" t="s">
        <v>84</v>
      </c>
      <c r="AP47" s="3"/>
      <c r="AQ47" s="3"/>
      <c r="AR47" s="3"/>
      <c r="AS47" s="3"/>
      <c r="AT47" s="3"/>
      <c r="AU47" s="4"/>
      <c r="BZ47" s="15"/>
    </row>
    <row r="48" spans="3:78">
      <c r="C48" s="14"/>
      <c r="BZ48" s="15"/>
    </row>
    <row r="49" spans="2:78">
      <c r="C49" s="14"/>
      <c r="BZ49" s="15"/>
    </row>
    <row r="51" spans="2:78">
      <c r="B51" s="1" t="s">
        <v>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5816-D5E2-4B43-96C1-78ACB7AFC4BF}">
  <sheetPr>
    <pageSetUpPr fitToPage="1"/>
  </sheetPr>
  <dimension ref="A1:D41"/>
  <sheetViews>
    <sheetView showGridLines="0" zoomScale="115" zoomScaleNormal="115" workbookViewId="0">
      <selection activeCell="D5" sqref="D5"/>
    </sheetView>
  </sheetViews>
  <sheetFormatPr defaultColWidth="3.125" defaultRowHeight="15"/>
  <cols>
    <col min="1" max="1" width="3.125" style="1"/>
    <col min="2" max="2" width="5.5" style="1" bestFit="1" customWidth="1"/>
    <col min="3" max="3" width="19.4375" style="1" bestFit="1" customWidth="1"/>
    <col min="4" max="4" width="52.5" style="1" bestFit="1" customWidth="1"/>
    <col min="5" max="16384" width="3.125" style="1"/>
  </cols>
  <sheetData>
    <row r="1" spans="1:4">
      <c r="A1" s="1" t="s">
        <v>6</v>
      </c>
    </row>
    <row r="2" spans="1:4">
      <c r="B2" s="8" t="s">
        <v>4</v>
      </c>
      <c r="C2" s="23" t="s">
        <v>7</v>
      </c>
      <c r="D2" s="23" t="s">
        <v>8</v>
      </c>
    </row>
    <row r="3" spans="1:4">
      <c r="B3" s="2" t="s">
        <v>9</v>
      </c>
      <c r="C3" s="22" t="s">
        <v>10</v>
      </c>
      <c r="D3" s="22" t="s">
        <v>11</v>
      </c>
    </row>
    <row r="4" spans="1:4">
      <c r="B4" s="2" t="s">
        <v>12</v>
      </c>
      <c r="C4" s="22" t="s">
        <v>85</v>
      </c>
      <c r="D4" s="22" t="s">
        <v>96</v>
      </c>
    </row>
    <row r="5" spans="1:4">
      <c r="B5" s="2" t="s">
        <v>44</v>
      </c>
      <c r="C5" s="22" t="s">
        <v>86</v>
      </c>
      <c r="D5" s="22" t="s">
        <v>95</v>
      </c>
    </row>
    <row r="6" spans="1:4">
      <c r="B6" s="2" t="s">
        <v>13</v>
      </c>
      <c r="C6" s="22" t="s">
        <v>88</v>
      </c>
      <c r="D6" s="22" t="s">
        <v>97</v>
      </c>
    </row>
    <row r="7" spans="1:4">
      <c r="B7" s="2" t="s">
        <v>14</v>
      </c>
      <c r="C7" s="22" t="s">
        <v>91</v>
      </c>
      <c r="D7" s="22" t="s">
        <v>98</v>
      </c>
    </row>
    <row r="8" spans="1:4">
      <c r="B8" s="2" t="s">
        <v>89</v>
      </c>
      <c r="C8" s="43" t="s">
        <v>93</v>
      </c>
      <c r="D8" s="22" t="s">
        <v>99</v>
      </c>
    </row>
    <row r="9" spans="1:4">
      <c r="B9" s="2" t="s">
        <v>90</v>
      </c>
      <c r="C9" s="22" t="s">
        <v>94</v>
      </c>
      <c r="D9" s="22" t="s">
        <v>100</v>
      </c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  <row r="38" spans="2:4" ht="17.649999999999999">
      <c r="B38"/>
      <c r="C38"/>
      <c r="D38"/>
    </row>
    <row r="39" spans="2:4" ht="17.649999999999999">
      <c r="B39"/>
      <c r="C39"/>
      <c r="D39"/>
    </row>
    <row r="40" spans="2:4" ht="17.649999999999999">
      <c r="B40"/>
      <c r="C40"/>
      <c r="D40"/>
    </row>
    <row r="41" spans="2:4" ht="17.649999999999999">
      <c r="B41"/>
      <c r="C41"/>
      <c r="D41"/>
    </row>
  </sheetData>
  <phoneticPr fontId="1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57E1-48E7-4078-8026-032CE7DD3BB3}">
  <sheetPr>
    <pageSetUpPr fitToPage="1"/>
  </sheetPr>
  <dimension ref="A1:H170"/>
  <sheetViews>
    <sheetView showGridLines="0" zoomScale="60" zoomScaleNormal="60" workbookViewId="0">
      <selection activeCell="A19" sqref="A19:XFD29"/>
    </sheetView>
  </sheetViews>
  <sheetFormatPr defaultColWidth="3.125" defaultRowHeight="15"/>
  <cols>
    <col min="1" max="1" width="3.125" style="25"/>
    <col min="2" max="2" width="6.75" style="24" customWidth="1"/>
    <col min="3" max="3" width="15.875" style="24" bestFit="1" customWidth="1"/>
    <col min="4" max="4" width="49.4375" style="24" bestFit="1" customWidth="1"/>
    <col min="5" max="5" width="21.75" style="24" customWidth="1"/>
    <col min="6" max="6" width="49.4375" style="24" bestFit="1" customWidth="1"/>
    <col min="7" max="7" width="87.0625" style="24" bestFit="1" customWidth="1"/>
    <col min="8" max="8" width="63.625" style="44" bestFit="1" customWidth="1"/>
    <col min="9" max="16384" width="3.125" style="1"/>
  </cols>
  <sheetData>
    <row r="1" spans="1:8">
      <c r="A1" s="1" t="s">
        <v>15</v>
      </c>
    </row>
    <row r="2" spans="1:8">
      <c r="A2" s="25">
        <v>1</v>
      </c>
      <c r="B2" s="24" t="str">
        <f ca="1">OFFSET(TB一覧!$B$3,TB定義!A2-1,0)</f>
        <v>M01</v>
      </c>
      <c r="C2" s="24" t="str">
        <f ca="1">OFFSET(TB一覧!$B$3,TB定義!A2-1,1)</f>
        <v>mst_ライン一覧</v>
      </c>
    </row>
    <row r="3" spans="1:8">
      <c r="B3" s="26" t="s">
        <v>16</v>
      </c>
      <c r="C3" s="27"/>
      <c r="D3" s="28"/>
      <c r="E3" s="26" t="s">
        <v>17</v>
      </c>
      <c r="F3" s="27"/>
      <c r="G3" s="27"/>
      <c r="H3" s="45"/>
    </row>
    <row r="4" spans="1:8">
      <c r="B4" s="26" t="s">
        <v>4</v>
      </c>
      <c r="C4" s="26" t="s">
        <v>18</v>
      </c>
      <c r="D4" s="26" t="s">
        <v>19</v>
      </c>
      <c r="E4" s="26" t="s">
        <v>20</v>
      </c>
      <c r="F4" s="26" t="s">
        <v>19</v>
      </c>
      <c r="G4" s="26" t="s">
        <v>21</v>
      </c>
      <c r="H4" s="46" t="s">
        <v>8</v>
      </c>
    </row>
    <row r="5" spans="1:8">
      <c r="B5" s="29">
        <v>1</v>
      </c>
      <c r="C5" s="29" t="s">
        <v>22</v>
      </c>
      <c r="D5" s="29" t="s">
        <v>23</v>
      </c>
      <c r="E5" s="29" t="s">
        <v>24</v>
      </c>
      <c r="F5" s="29" t="s">
        <v>23</v>
      </c>
      <c r="G5" s="30"/>
      <c r="H5" s="31"/>
    </row>
    <row r="6" spans="1:8">
      <c r="B6" s="29">
        <v>2</v>
      </c>
      <c r="C6" s="29" t="s">
        <v>22</v>
      </c>
      <c r="D6" s="29" t="s">
        <v>25</v>
      </c>
      <c r="E6" s="29" t="s">
        <v>24</v>
      </c>
      <c r="F6" s="29" t="s">
        <v>25</v>
      </c>
      <c r="G6" s="32"/>
      <c r="H6" s="31"/>
    </row>
    <row r="7" spans="1:8">
      <c r="B7" s="29">
        <v>3</v>
      </c>
      <c r="C7" s="29" t="s">
        <v>22</v>
      </c>
      <c r="D7" s="29" t="s">
        <v>26</v>
      </c>
      <c r="E7" s="29" t="s">
        <v>24</v>
      </c>
      <c r="F7" s="29" t="s">
        <v>26</v>
      </c>
      <c r="G7" s="32"/>
      <c r="H7" s="31"/>
    </row>
    <row r="8" spans="1:8">
      <c r="B8" s="29">
        <v>4</v>
      </c>
      <c r="C8" s="29" t="s">
        <v>22</v>
      </c>
      <c r="D8" s="29" t="s">
        <v>27</v>
      </c>
      <c r="E8" s="29" t="s">
        <v>24</v>
      </c>
      <c r="F8" s="29" t="s">
        <v>27</v>
      </c>
      <c r="G8" s="32"/>
      <c r="H8" s="31"/>
    </row>
    <row r="10" spans="1:8">
      <c r="A10" s="25">
        <f>A2+1</f>
        <v>2</v>
      </c>
      <c r="B10" s="24" t="str">
        <f ca="1">OFFSET(TB一覧!$B$3,TB定義!A10-1,0)</f>
        <v>M02</v>
      </c>
      <c r="C10" s="24" t="str">
        <f ca="1">OFFSET(TB一覧!$B$3,TB定義!A10-1,1)</f>
        <v>mst_cav一覧</v>
      </c>
    </row>
    <row r="11" spans="1:8">
      <c r="B11" s="26" t="s">
        <v>16</v>
      </c>
      <c r="C11" s="27"/>
      <c r="D11" s="28"/>
      <c r="E11" s="26" t="s">
        <v>17</v>
      </c>
      <c r="F11" s="27"/>
      <c r="G11" s="27"/>
      <c r="H11" s="45"/>
    </row>
    <row r="12" spans="1:8">
      <c r="B12" s="26" t="s">
        <v>4</v>
      </c>
      <c r="C12" s="26" t="s">
        <v>18</v>
      </c>
      <c r="D12" s="26" t="s">
        <v>19</v>
      </c>
      <c r="E12" s="26" t="s">
        <v>20</v>
      </c>
      <c r="F12" s="26" t="s">
        <v>19</v>
      </c>
      <c r="G12" s="26" t="s">
        <v>21</v>
      </c>
      <c r="H12" s="46" t="s">
        <v>8</v>
      </c>
    </row>
    <row r="13" spans="1:8">
      <c r="B13" s="29">
        <v>1</v>
      </c>
      <c r="C13" s="29" t="s">
        <v>22</v>
      </c>
      <c r="D13" s="29" t="s">
        <v>102</v>
      </c>
      <c r="E13" s="29" t="s">
        <v>101</v>
      </c>
      <c r="F13" s="29" t="s">
        <v>102</v>
      </c>
      <c r="G13" s="32"/>
      <c r="H13" s="31"/>
    </row>
    <row r="14" spans="1:8">
      <c r="B14" s="29">
        <v>2</v>
      </c>
      <c r="C14" s="29" t="s">
        <v>22</v>
      </c>
      <c r="D14" s="29" t="s">
        <v>103</v>
      </c>
      <c r="E14" s="29" t="s">
        <v>101</v>
      </c>
      <c r="F14" s="29" t="s">
        <v>103</v>
      </c>
      <c r="G14" s="32"/>
      <c r="H14" s="31"/>
    </row>
    <row r="15" spans="1:8">
      <c r="B15" s="29">
        <v>3</v>
      </c>
      <c r="C15" s="29" t="s">
        <v>22</v>
      </c>
      <c r="D15" s="29" t="s">
        <v>104</v>
      </c>
      <c r="E15" s="29" t="s">
        <v>101</v>
      </c>
      <c r="F15" s="29" t="s">
        <v>104</v>
      </c>
      <c r="G15" s="32"/>
      <c r="H15" s="31"/>
    </row>
    <row r="16" spans="1:8">
      <c r="B16" s="29">
        <v>4</v>
      </c>
      <c r="C16" s="29" t="s">
        <v>22</v>
      </c>
      <c r="D16" s="29" t="s">
        <v>52</v>
      </c>
      <c r="E16" s="29" t="s">
        <v>101</v>
      </c>
      <c r="F16" s="29" t="s">
        <v>52</v>
      </c>
      <c r="G16" s="32"/>
      <c r="H16" s="31"/>
    </row>
    <row r="17" spans="1:8">
      <c r="B17" s="29">
        <v>5</v>
      </c>
      <c r="C17" s="29" t="s">
        <v>22</v>
      </c>
      <c r="D17" s="29" t="s">
        <v>105</v>
      </c>
      <c r="E17" s="29" t="s">
        <v>101</v>
      </c>
      <c r="F17" s="29" t="s">
        <v>105</v>
      </c>
      <c r="G17" s="32"/>
      <c r="H17" s="31"/>
    </row>
    <row r="19" spans="1:8">
      <c r="A19" s="25">
        <f>A10+1</f>
        <v>3</v>
      </c>
      <c r="B19" s="24" t="str">
        <f ca="1">OFFSET(TB一覧!$B$3,TB定義!A19-1,0)</f>
        <v>M03</v>
      </c>
      <c r="C19" s="24" t="str">
        <f ca="1">OFFSET(TB一覧!$B$3,TB定義!A19-1,1)</f>
        <v>日付</v>
      </c>
    </row>
    <row r="20" spans="1:8">
      <c r="B20" s="26" t="s">
        <v>16</v>
      </c>
      <c r="C20" s="27"/>
      <c r="D20" s="28"/>
      <c r="E20" s="26" t="s">
        <v>17</v>
      </c>
      <c r="F20" s="27"/>
      <c r="G20" s="27"/>
      <c r="H20" s="45"/>
    </row>
    <row r="21" spans="1:8">
      <c r="B21" s="26" t="s">
        <v>4</v>
      </c>
      <c r="C21" s="26" t="s">
        <v>18</v>
      </c>
      <c r="D21" s="26" t="s">
        <v>19</v>
      </c>
      <c r="E21" s="26" t="s">
        <v>20</v>
      </c>
      <c r="F21" s="26" t="s">
        <v>19</v>
      </c>
      <c r="G21" s="26" t="s">
        <v>21</v>
      </c>
      <c r="H21" s="46" t="s">
        <v>8</v>
      </c>
    </row>
    <row r="22" spans="1:8">
      <c r="B22" s="29">
        <v>1</v>
      </c>
      <c r="C22" s="29" t="s">
        <v>29</v>
      </c>
      <c r="D22" s="29" t="s">
        <v>106</v>
      </c>
      <c r="E22" s="29" t="s">
        <v>28</v>
      </c>
      <c r="F22" s="29" t="s">
        <v>28</v>
      </c>
      <c r="G22" s="30" t="s">
        <v>107</v>
      </c>
      <c r="H22" s="31"/>
    </row>
    <row r="23" spans="1:8">
      <c r="B23" s="29">
        <v>2</v>
      </c>
      <c r="C23" s="29" t="s">
        <v>29</v>
      </c>
      <c r="D23" s="29" t="s">
        <v>108</v>
      </c>
      <c r="E23" s="29" t="s">
        <v>28</v>
      </c>
      <c r="F23" s="29" t="s">
        <v>28</v>
      </c>
      <c r="G23" s="30" t="s">
        <v>112</v>
      </c>
      <c r="H23" s="31"/>
    </row>
    <row r="24" spans="1:8">
      <c r="B24" s="29">
        <v>3</v>
      </c>
      <c r="C24" s="29" t="s">
        <v>29</v>
      </c>
      <c r="D24" s="29" t="s">
        <v>109</v>
      </c>
      <c r="E24" s="29" t="s">
        <v>28</v>
      </c>
      <c r="F24" s="29" t="s">
        <v>28</v>
      </c>
      <c r="G24" s="30" t="s">
        <v>113</v>
      </c>
      <c r="H24" s="31"/>
    </row>
    <row r="25" spans="1:8">
      <c r="B25" s="29">
        <v>4</v>
      </c>
      <c r="C25" s="29" t="s">
        <v>29</v>
      </c>
      <c r="D25" s="29" t="s">
        <v>41</v>
      </c>
      <c r="E25" s="29" t="s">
        <v>28</v>
      </c>
      <c r="F25" s="29" t="s">
        <v>28</v>
      </c>
      <c r="G25" s="30" t="s">
        <v>114</v>
      </c>
      <c r="H25" s="31"/>
    </row>
    <row r="26" spans="1:8">
      <c r="B26" s="29">
        <v>5</v>
      </c>
      <c r="C26" s="29" t="s">
        <v>29</v>
      </c>
      <c r="D26" s="29" t="s">
        <v>110</v>
      </c>
      <c r="E26" s="29" t="s">
        <v>28</v>
      </c>
      <c r="F26" s="29" t="s">
        <v>28</v>
      </c>
      <c r="G26" s="30" t="s">
        <v>115</v>
      </c>
      <c r="H26" s="31"/>
    </row>
    <row r="27" spans="1:8">
      <c r="B27" s="29">
        <v>6</v>
      </c>
      <c r="C27" s="29" t="s">
        <v>29</v>
      </c>
      <c r="D27" s="29" t="s">
        <v>111</v>
      </c>
      <c r="E27" s="29" t="s">
        <v>28</v>
      </c>
      <c r="F27" s="29" t="s">
        <v>28</v>
      </c>
      <c r="G27" s="30" t="s">
        <v>116</v>
      </c>
      <c r="H27" s="31"/>
    </row>
    <row r="28" spans="1:8">
      <c r="B28" s="29">
        <v>7</v>
      </c>
      <c r="C28" s="29" t="s">
        <v>29</v>
      </c>
      <c r="D28" s="29" t="s">
        <v>46</v>
      </c>
      <c r="E28" s="29" t="s">
        <v>28</v>
      </c>
      <c r="F28" s="29" t="s">
        <v>28</v>
      </c>
      <c r="G28" s="30" t="s">
        <v>117</v>
      </c>
      <c r="H28" s="31"/>
    </row>
    <row r="30" spans="1:8">
      <c r="A30" s="25">
        <f>A19+1</f>
        <v>4</v>
      </c>
      <c r="B30" s="24" t="str">
        <f ca="1">OFFSET(TB一覧!$B$3,TB定義!A30-1,0)</f>
        <v>T01</v>
      </c>
      <c r="C30" s="24" t="str">
        <f ca="1">OFFSET(TB一覧!$B$3,TB定義!A30-1,1)</f>
        <v>cav情報_work</v>
      </c>
    </row>
    <row r="31" spans="1:8">
      <c r="B31" s="26" t="s">
        <v>16</v>
      </c>
      <c r="C31" s="27"/>
      <c r="D31" s="28"/>
      <c r="E31" s="26" t="s">
        <v>17</v>
      </c>
      <c r="F31" s="27"/>
      <c r="G31" s="27"/>
      <c r="H31" s="45"/>
    </row>
    <row r="32" spans="1:8">
      <c r="B32" s="26" t="s">
        <v>4</v>
      </c>
      <c r="C32" s="26" t="s">
        <v>18</v>
      </c>
      <c r="D32" s="26" t="s">
        <v>19</v>
      </c>
      <c r="E32" s="26" t="s">
        <v>20</v>
      </c>
      <c r="F32" s="26" t="s">
        <v>19</v>
      </c>
      <c r="G32" s="26" t="s">
        <v>21</v>
      </c>
      <c r="H32" s="46" t="s">
        <v>8</v>
      </c>
    </row>
    <row r="33" spans="2:8">
      <c r="B33" s="29">
        <v>1</v>
      </c>
      <c r="C33" s="29" t="s">
        <v>22</v>
      </c>
      <c r="D33" s="29" t="s">
        <v>120</v>
      </c>
      <c r="E33" s="29" t="s">
        <v>119</v>
      </c>
      <c r="F33" s="29" t="s">
        <v>121</v>
      </c>
      <c r="G33" s="30"/>
      <c r="H33" s="31"/>
    </row>
    <row r="34" spans="2:8">
      <c r="B34" s="29">
        <v>2</v>
      </c>
      <c r="C34" s="29" t="s">
        <v>22</v>
      </c>
      <c r="D34" s="29" t="s">
        <v>141</v>
      </c>
      <c r="E34" s="29" t="s">
        <v>119</v>
      </c>
      <c r="F34" s="29" t="s">
        <v>102</v>
      </c>
      <c r="G34" s="30"/>
      <c r="H34" s="31"/>
    </row>
    <row r="35" spans="2:8">
      <c r="B35" s="29">
        <v>3</v>
      </c>
      <c r="C35" s="29" t="s">
        <v>22</v>
      </c>
      <c r="D35" s="29" t="s">
        <v>103</v>
      </c>
      <c r="E35" s="29" t="s">
        <v>119</v>
      </c>
      <c r="F35" s="29" t="s">
        <v>103</v>
      </c>
      <c r="G35" s="30"/>
      <c r="H35" s="31"/>
    </row>
    <row r="36" spans="2:8">
      <c r="B36" s="29">
        <v>4</v>
      </c>
      <c r="C36" s="29" t="s">
        <v>22</v>
      </c>
      <c r="D36" s="29" t="s">
        <v>122</v>
      </c>
      <c r="E36" s="29" t="s">
        <v>119</v>
      </c>
      <c r="F36" s="29" t="s">
        <v>122</v>
      </c>
      <c r="G36" s="30"/>
      <c r="H36" s="31"/>
    </row>
    <row r="37" spans="2:8">
      <c r="B37" s="29">
        <v>5</v>
      </c>
      <c r="C37" s="29" t="s">
        <v>22</v>
      </c>
      <c r="D37" s="29" t="s">
        <v>45</v>
      </c>
      <c r="E37" s="29" t="s">
        <v>119</v>
      </c>
      <c r="F37" s="29" t="s">
        <v>45</v>
      </c>
      <c r="G37" s="30"/>
      <c r="H37" s="31"/>
    </row>
    <row r="38" spans="2:8">
      <c r="B38" s="29">
        <v>6</v>
      </c>
      <c r="C38" s="29" t="s">
        <v>22</v>
      </c>
      <c r="D38" s="29" t="s">
        <v>123</v>
      </c>
      <c r="E38" s="29" t="s">
        <v>119</v>
      </c>
      <c r="F38" s="29" t="s">
        <v>123</v>
      </c>
      <c r="G38" s="30"/>
      <c r="H38" s="31"/>
    </row>
    <row r="39" spans="2:8">
      <c r="B39" s="29">
        <v>7</v>
      </c>
      <c r="C39" s="29" t="s">
        <v>22</v>
      </c>
      <c r="D39" s="29" t="s">
        <v>124</v>
      </c>
      <c r="E39" s="29" t="s">
        <v>119</v>
      </c>
      <c r="F39" s="29" t="s">
        <v>124</v>
      </c>
      <c r="G39" s="30"/>
      <c r="H39" s="31"/>
    </row>
    <row r="40" spans="2:8">
      <c r="B40" s="29">
        <v>8</v>
      </c>
      <c r="C40" s="29" t="s">
        <v>22</v>
      </c>
      <c r="D40" s="29" t="s">
        <v>125</v>
      </c>
      <c r="E40" s="29" t="s">
        <v>119</v>
      </c>
      <c r="F40" s="29" t="s">
        <v>125</v>
      </c>
      <c r="G40" s="30"/>
      <c r="H40" s="31"/>
    </row>
    <row r="41" spans="2:8">
      <c r="B41" s="29">
        <v>9</v>
      </c>
      <c r="C41" s="29" t="s">
        <v>22</v>
      </c>
      <c r="D41" s="29" t="s">
        <v>126</v>
      </c>
      <c r="E41" s="29" t="s">
        <v>119</v>
      </c>
      <c r="F41" s="29" t="s">
        <v>126</v>
      </c>
      <c r="G41" s="30"/>
      <c r="H41" s="31"/>
    </row>
    <row r="42" spans="2:8">
      <c r="B42" s="29">
        <v>10</v>
      </c>
      <c r="C42" s="29" t="s">
        <v>22</v>
      </c>
      <c r="D42" s="29" t="s">
        <v>127</v>
      </c>
      <c r="E42" s="29" t="s">
        <v>119</v>
      </c>
      <c r="F42" s="29" t="s">
        <v>127</v>
      </c>
      <c r="G42" s="30"/>
      <c r="H42" s="31"/>
    </row>
    <row r="43" spans="2:8">
      <c r="B43" s="29">
        <v>11</v>
      </c>
      <c r="C43" s="29" t="s">
        <v>22</v>
      </c>
      <c r="D43" s="29" t="s">
        <v>59</v>
      </c>
      <c r="E43" s="29" t="s">
        <v>119</v>
      </c>
      <c r="F43" s="29" t="s">
        <v>59</v>
      </c>
      <c r="G43" s="30"/>
      <c r="H43" s="31"/>
    </row>
    <row r="44" spans="2:8">
      <c r="B44" s="29">
        <v>12</v>
      </c>
      <c r="C44" s="29" t="s">
        <v>22</v>
      </c>
      <c r="D44" s="29" t="s">
        <v>104</v>
      </c>
      <c r="E44" s="29" t="s">
        <v>119</v>
      </c>
      <c r="F44" s="29" t="s">
        <v>104</v>
      </c>
      <c r="G44" s="30"/>
      <c r="H44" s="31"/>
    </row>
    <row r="45" spans="2:8">
      <c r="B45" s="29">
        <v>13</v>
      </c>
      <c r="C45" s="29" t="s">
        <v>22</v>
      </c>
      <c r="D45" s="29" t="s">
        <v>52</v>
      </c>
      <c r="E45" s="29" t="s">
        <v>119</v>
      </c>
      <c r="F45" s="29" t="s">
        <v>52</v>
      </c>
      <c r="G45" s="30"/>
      <c r="H45" s="31"/>
    </row>
    <row r="46" spans="2:8">
      <c r="B46" s="29">
        <v>14</v>
      </c>
      <c r="C46" s="29" t="s">
        <v>22</v>
      </c>
      <c r="D46" s="29" t="s">
        <v>128</v>
      </c>
      <c r="E46" s="29" t="s">
        <v>119</v>
      </c>
      <c r="F46" s="29" t="s">
        <v>128</v>
      </c>
      <c r="G46" s="30"/>
      <c r="H46" s="31"/>
    </row>
    <row r="47" spans="2:8">
      <c r="B47" s="29">
        <v>15</v>
      </c>
      <c r="C47" s="29" t="s">
        <v>22</v>
      </c>
      <c r="D47" s="29" t="s">
        <v>129</v>
      </c>
      <c r="E47" s="29" t="s">
        <v>119</v>
      </c>
      <c r="F47" s="29" t="s">
        <v>129</v>
      </c>
      <c r="G47" s="30"/>
      <c r="H47" s="31"/>
    </row>
    <row r="48" spans="2:8">
      <c r="B48" s="29">
        <v>16</v>
      </c>
      <c r="C48" s="29" t="s">
        <v>22</v>
      </c>
      <c r="D48" s="29" t="s">
        <v>130</v>
      </c>
      <c r="E48" s="29" t="s">
        <v>119</v>
      </c>
      <c r="F48" s="29" t="s">
        <v>130</v>
      </c>
      <c r="G48" s="30"/>
      <c r="H48" s="31"/>
    </row>
    <row r="49" spans="1:8">
      <c r="B49" s="29">
        <v>17</v>
      </c>
      <c r="C49" s="29" t="s">
        <v>22</v>
      </c>
      <c r="D49" s="29" t="s">
        <v>118</v>
      </c>
      <c r="E49" s="29" t="s">
        <v>119</v>
      </c>
      <c r="F49" s="29" t="s">
        <v>118</v>
      </c>
      <c r="G49" s="30"/>
      <c r="H49" s="31"/>
    </row>
    <row r="50" spans="1:8">
      <c r="B50" s="29">
        <v>18</v>
      </c>
      <c r="C50" s="29" t="s">
        <v>22</v>
      </c>
      <c r="D50" s="29" t="s">
        <v>131</v>
      </c>
      <c r="E50" s="29" t="s">
        <v>119</v>
      </c>
      <c r="F50" s="29" t="s">
        <v>131</v>
      </c>
      <c r="G50" s="30"/>
      <c r="H50" s="31"/>
    </row>
    <row r="51" spans="1:8">
      <c r="B51" s="29">
        <v>19</v>
      </c>
      <c r="C51" s="29" t="s">
        <v>22</v>
      </c>
      <c r="D51" s="29" t="s">
        <v>132</v>
      </c>
      <c r="E51" s="29" t="s">
        <v>119</v>
      </c>
      <c r="F51" s="29" t="s">
        <v>132</v>
      </c>
      <c r="G51" s="30"/>
      <c r="H51" s="31"/>
    </row>
    <row r="52" spans="1:8">
      <c r="B52" s="29">
        <v>20</v>
      </c>
      <c r="C52" s="29" t="s">
        <v>22</v>
      </c>
      <c r="D52" s="29" t="s">
        <v>133</v>
      </c>
      <c r="E52" s="29" t="s">
        <v>119</v>
      </c>
      <c r="F52" s="29" t="s">
        <v>133</v>
      </c>
      <c r="G52" s="30"/>
      <c r="H52" s="31"/>
    </row>
    <row r="53" spans="1:8">
      <c r="B53" s="29">
        <v>21</v>
      </c>
      <c r="C53" s="29" t="s">
        <v>22</v>
      </c>
      <c r="D53" s="29" t="s">
        <v>134</v>
      </c>
      <c r="E53" s="29" t="s">
        <v>119</v>
      </c>
      <c r="F53" s="29" t="s">
        <v>134</v>
      </c>
      <c r="G53" s="30"/>
      <c r="H53" s="31"/>
    </row>
    <row r="54" spans="1:8">
      <c r="B54" s="29">
        <v>22</v>
      </c>
      <c r="C54" s="29" t="s">
        <v>22</v>
      </c>
      <c r="D54" s="29" t="s">
        <v>135</v>
      </c>
      <c r="E54" s="29" t="s">
        <v>119</v>
      </c>
      <c r="F54" s="29" t="s">
        <v>135</v>
      </c>
      <c r="G54" s="30"/>
      <c r="H54" s="31"/>
    </row>
    <row r="55" spans="1:8">
      <c r="B55" s="29">
        <v>23</v>
      </c>
      <c r="C55" s="29" t="s">
        <v>22</v>
      </c>
      <c r="D55" s="29" t="s">
        <v>136</v>
      </c>
      <c r="E55" s="29" t="s">
        <v>119</v>
      </c>
      <c r="F55" s="29" t="s">
        <v>136</v>
      </c>
      <c r="G55" s="30"/>
      <c r="H55" s="31"/>
    </row>
    <row r="56" spans="1:8">
      <c r="B56" s="29">
        <v>24</v>
      </c>
      <c r="C56" s="29" t="s">
        <v>22</v>
      </c>
      <c r="D56" s="29" t="s">
        <v>137</v>
      </c>
      <c r="E56" s="29" t="s">
        <v>119</v>
      </c>
      <c r="F56" s="29" t="s">
        <v>137</v>
      </c>
      <c r="G56" s="30"/>
      <c r="H56" s="31"/>
    </row>
    <row r="57" spans="1:8">
      <c r="B57" s="29">
        <v>25</v>
      </c>
      <c r="C57" s="29" t="s">
        <v>22</v>
      </c>
      <c r="D57" s="29" t="s">
        <v>138</v>
      </c>
      <c r="E57" s="29" t="s">
        <v>119</v>
      </c>
      <c r="F57" s="29" t="s">
        <v>138</v>
      </c>
      <c r="G57" s="30"/>
      <c r="H57" s="31"/>
    </row>
    <row r="58" spans="1:8">
      <c r="B58" s="29">
        <v>26</v>
      </c>
      <c r="C58" s="29" t="s">
        <v>22</v>
      </c>
      <c r="D58" s="29" t="s">
        <v>139</v>
      </c>
      <c r="E58" s="29" t="s">
        <v>119</v>
      </c>
      <c r="F58" s="29" t="s">
        <v>139</v>
      </c>
      <c r="G58" s="30"/>
      <c r="H58" s="31"/>
    </row>
    <row r="59" spans="1:8">
      <c r="B59" s="29">
        <v>27</v>
      </c>
      <c r="C59" s="29" t="s">
        <v>22</v>
      </c>
      <c r="D59" s="29" t="s">
        <v>140</v>
      </c>
      <c r="E59" s="29" t="s">
        <v>119</v>
      </c>
      <c r="F59" s="29" t="s">
        <v>28</v>
      </c>
      <c r="G59" s="30" t="s">
        <v>142</v>
      </c>
      <c r="H59" s="31" t="s">
        <v>146</v>
      </c>
    </row>
    <row r="61" spans="1:8">
      <c r="A61" s="25">
        <f>A30+1</f>
        <v>5</v>
      </c>
      <c r="B61" s="24" t="str">
        <f ca="1">OFFSET(TB一覧!$B$3,TB定義!A61-1,0)</f>
        <v>T02</v>
      </c>
      <c r="C61" s="24" t="str">
        <f ca="1">OFFSET(TB一覧!$B$3,TB定義!A61-1,1)</f>
        <v>cav情報</v>
      </c>
    </row>
    <row r="62" spans="1:8">
      <c r="B62" s="26" t="s">
        <v>16</v>
      </c>
      <c r="C62" s="27"/>
      <c r="D62" s="28"/>
      <c r="E62" s="26" t="s">
        <v>17</v>
      </c>
      <c r="F62" s="27"/>
      <c r="G62" s="27"/>
      <c r="H62" s="45"/>
    </row>
    <row r="63" spans="1:8">
      <c r="B63" s="26" t="s">
        <v>4</v>
      </c>
      <c r="C63" s="26" t="s">
        <v>18</v>
      </c>
      <c r="D63" s="26" t="s">
        <v>19</v>
      </c>
      <c r="E63" s="26" t="s">
        <v>20</v>
      </c>
      <c r="F63" s="26" t="s">
        <v>19</v>
      </c>
      <c r="G63" s="26" t="s">
        <v>21</v>
      </c>
      <c r="H63" s="46" t="s">
        <v>8</v>
      </c>
    </row>
    <row r="64" spans="1:8">
      <c r="B64" s="29">
        <v>1</v>
      </c>
      <c r="C64" s="29" t="s">
        <v>22</v>
      </c>
      <c r="D64" s="29" t="s">
        <v>120</v>
      </c>
      <c r="E64" s="29" t="s">
        <v>87</v>
      </c>
      <c r="F64" s="29" t="s">
        <v>120</v>
      </c>
      <c r="G64" s="30"/>
      <c r="H64" s="31"/>
    </row>
    <row r="65" spans="2:8">
      <c r="B65" s="29">
        <v>2</v>
      </c>
      <c r="C65" s="29" t="s">
        <v>22</v>
      </c>
      <c r="D65" s="29" t="s">
        <v>141</v>
      </c>
      <c r="E65" s="29" t="s">
        <v>87</v>
      </c>
      <c r="F65" s="29" t="s">
        <v>141</v>
      </c>
      <c r="G65" s="30"/>
      <c r="H65" s="31"/>
    </row>
    <row r="66" spans="2:8">
      <c r="B66" s="29">
        <v>3</v>
      </c>
      <c r="C66" s="29" t="s">
        <v>22</v>
      </c>
      <c r="D66" s="29" t="s">
        <v>103</v>
      </c>
      <c r="E66" s="29" t="s">
        <v>87</v>
      </c>
      <c r="F66" s="29" t="s">
        <v>103</v>
      </c>
      <c r="G66" s="30"/>
      <c r="H66" s="31"/>
    </row>
    <row r="67" spans="2:8">
      <c r="B67" s="29">
        <v>4</v>
      </c>
      <c r="C67" s="29" t="s">
        <v>22</v>
      </c>
      <c r="D67" s="29" t="s">
        <v>122</v>
      </c>
      <c r="E67" s="29" t="s">
        <v>87</v>
      </c>
      <c r="F67" s="29" t="s">
        <v>122</v>
      </c>
      <c r="G67" s="30"/>
      <c r="H67" s="31"/>
    </row>
    <row r="68" spans="2:8">
      <c r="B68" s="29">
        <v>5</v>
      </c>
      <c r="C68" s="29" t="s">
        <v>22</v>
      </c>
      <c r="D68" s="29" t="s">
        <v>45</v>
      </c>
      <c r="E68" s="29" t="s">
        <v>87</v>
      </c>
      <c r="F68" s="29" t="s">
        <v>45</v>
      </c>
      <c r="G68" s="30"/>
      <c r="H68" s="31"/>
    </row>
    <row r="69" spans="2:8">
      <c r="B69" s="29">
        <v>6</v>
      </c>
      <c r="C69" s="29" t="s">
        <v>22</v>
      </c>
      <c r="D69" s="29" t="s">
        <v>123</v>
      </c>
      <c r="E69" s="29" t="s">
        <v>87</v>
      </c>
      <c r="F69" s="29" t="s">
        <v>123</v>
      </c>
      <c r="G69" s="30"/>
      <c r="H69" s="31"/>
    </row>
    <row r="70" spans="2:8">
      <c r="B70" s="29">
        <v>7</v>
      </c>
      <c r="C70" s="29" t="s">
        <v>22</v>
      </c>
      <c r="D70" s="29" t="s">
        <v>124</v>
      </c>
      <c r="E70" s="29" t="s">
        <v>87</v>
      </c>
      <c r="F70" s="29" t="s">
        <v>124</v>
      </c>
      <c r="G70" s="30"/>
      <c r="H70" s="31"/>
    </row>
    <row r="71" spans="2:8">
      <c r="B71" s="29">
        <v>8</v>
      </c>
      <c r="C71" s="29" t="s">
        <v>22</v>
      </c>
      <c r="D71" s="29" t="s">
        <v>125</v>
      </c>
      <c r="E71" s="29" t="s">
        <v>87</v>
      </c>
      <c r="F71" s="29" t="s">
        <v>125</v>
      </c>
      <c r="G71" s="30"/>
      <c r="H71" s="31"/>
    </row>
    <row r="72" spans="2:8">
      <c r="B72" s="29">
        <v>9</v>
      </c>
      <c r="C72" s="29" t="s">
        <v>22</v>
      </c>
      <c r="D72" s="29" t="s">
        <v>126</v>
      </c>
      <c r="E72" s="29" t="s">
        <v>87</v>
      </c>
      <c r="F72" s="29" t="s">
        <v>126</v>
      </c>
      <c r="G72" s="30"/>
      <c r="H72" s="31"/>
    </row>
    <row r="73" spans="2:8">
      <c r="B73" s="29">
        <v>10</v>
      </c>
      <c r="C73" s="29" t="s">
        <v>22</v>
      </c>
      <c r="D73" s="29" t="s">
        <v>127</v>
      </c>
      <c r="E73" s="29" t="s">
        <v>87</v>
      </c>
      <c r="F73" s="29" t="s">
        <v>127</v>
      </c>
      <c r="G73" s="30"/>
      <c r="H73" s="31"/>
    </row>
    <row r="74" spans="2:8">
      <c r="B74" s="29">
        <v>11</v>
      </c>
      <c r="C74" s="29" t="s">
        <v>22</v>
      </c>
      <c r="D74" s="29" t="s">
        <v>59</v>
      </c>
      <c r="E74" s="29" t="s">
        <v>87</v>
      </c>
      <c r="F74" s="29" t="s">
        <v>59</v>
      </c>
      <c r="G74" s="30"/>
      <c r="H74" s="31"/>
    </row>
    <row r="75" spans="2:8">
      <c r="B75" s="29">
        <v>12</v>
      </c>
      <c r="C75" s="29" t="s">
        <v>22</v>
      </c>
      <c r="D75" s="29" t="s">
        <v>104</v>
      </c>
      <c r="E75" s="29" t="s">
        <v>87</v>
      </c>
      <c r="F75" s="29" t="s">
        <v>104</v>
      </c>
      <c r="G75" s="30"/>
      <c r="H75" s="31"/>
    </row>
    <row r="76" spans="2:8">
      <c r="B76" s="29">
        <v>13</v>
      </c>
      <c r="C76" s="29" t="s">
        <v>22</v>
      </c>
      <c r="D76" s="29" t="s">
        <v>52</v>
      </c>
      <c r="E76" s="29" t="s">
        <v>87</v>
      </c>
      <c r="F76" s="29" t="s">
        <v>52</v>
      </c>
      <c r="G76" s="30"/>
      <c r="H76" s="31"/>
    </row>
    <row r="77" spans="2:8">
      <c r="B77" s="29">
        <v>14</v>
      </c>
      <c r="C77" s="29" t="s">
        <v>22</v>
      </c>
      <c r="D77" s="29" t="s">
        <v>128</v>
      </c>
      <c r="E77" s="29" t="s">
        <v>87</v>
      </c>
      <c r="F77" s="29" t="s">
        <v>128</v>
      </c>
      <c r="G77" s="30"/>
      <c r="H77" s="31"/>
    </row>
    <row r="78" spans="2:8">
      <c r="B78" s="29">
        <v>15</v>
      </c>
      <c r="C78" s="29" t="s">
        <v>22</v>
      </c>
      <c r="D78" s="29" t="s">
        <v>129</v>
      </c>
      <c r="E78" s="29" t="s">
        <v>87</v>
      </c>
      <c r="F78" s="29" t="s">
        <v>129</v>
      </c>
      <c r="G78" s="30"/>
      <c r="H78" s="31"/>
    </row>
    <row r="79" spans="2:8">
      <c r="B79" s="29">
        <v>16</v>
      </c>
      <c r="C79" s="29" t="s">
        <v>22</v>
      </c>
      <c r="D79" s="29" t="s">
        <v>130</v>
      </c>
      <c r="E79" s="29" t="s">
        <v>87</v>
      </c>
      <c r="F79" s="29" t="s">
        <v>130</v>
      </c>
      <c r="G79" s="30"/>
      <c r="H79" s="31"/>
    </row>
    <row r="80" spans="2:8">
      <c r="B80" s="29">
        <v>17</v>
      </c>
      <c r="C80" s="29" t="s">
        <v>22</v>
      </c>
      <c r="D80" s="29" t="s">
        <v>118</v>
      </c>
      <c r="E80" s="29" t="s">
        <v>87</v>
      </c>
      <c r="F80" s="29" t="s">
        <v>118</v>
      </c>
      <c r="G80" s="30"/>
      <c r="H80" s="31"/>
    </row>
    <row r="81" spans="1:8">
      <c r="B81" s="29">
        <v>18</v>
      </c>
      <c r="C81" s="29" t="s">
        <v>22</v>
      </c>
      <c r="D81" s="29" t="s">
        <v>131</v>
      </c>
      <c r="E81" s="29" t="s">
        <v>87</v>
      </c>
      <c r="F81" s="29" t="s">
        <v>131</v>
      </c>
      <c r="G81" s="30"/>
      <c r="H81" s="31"/>
    </row>
    <row r="82" spans="1:8">
      <c r="B82" s="29">
        <v>19</v>
      </c>
      <c r="C82" s="29" t="s">
        <v>22</v>
      </c>
      <c r="D82" s="29" t="s">
        <v>132</v>
      </c>
      <c r="E82" s="29" t="s">
        <v>87</v>
      </c>
      <c r="F82" s="29" t="s">
        <v>132</v>
      </c>
      <c r="G82" s="30"/>
      <c r="H82" s="31"/>
    </row>
    <row r="83" spans="1:8">
      <c r="B83" s="29">
        <v>20</v>
      </c>
      <c r="C83" s="29" t="s">
        <v>22</v>
      </c>
      <c r="D83" s="29" t="s">
        <v>133</v>
      </c>
      <c r="E83" s="29" t="s">
        <v>87</v>
      </c>
      <c r="F83" s="29" t="s">
        <v>133</v>
      </c>
      <c r="G83" s="30"/>
      <c r="H83" s="31"/>
    </row>
    <row r="84" spans="1:8">
      <c r="B84" s="29">
        <v>21</v>
      </c>
      <c r="C84" s="29" t="s">
        <v>22</v>
      </c>
      <c r="D84" s="29" t="s">
        <v>134</v>
      </c>
      <c r="E84" s="29" t="s">
        <v>87</v>
      </c>
      <c r="F84" s="29" t="s">
        <v>134</v>
      </c>
      <c r="G84" s="30"/>
      <c r="H84" s="31"/>
    </row>
    <row r="85" spans="1:8">
      <c r="B85" s="29">
        <v>22</v>
      </c>
      <c r="C85" s="29" t="s">
        <v>22</v>
      </c>
      <c r="D85" s="29" t="s">
        <v>135</v>
      </c>
      <c r="E85" s="29" t="s">
        <v>87</v>
      </c>
      <c r="F85" s="29" t="s">
        <v>135</v>
      </c>
      <c r="G85" s="30"/>
      <c r="H85" s="31"/>
    </row>
    <row r="86" spans="1:8">
      <c r="B86" s="29">
        <v>23</v>
      </c>
      <c r="C86" s="29" t="s">
        <v>22</v>
      </c>
      <c r="D86" s="29" t="s">
        <v>136</v>
      </c>
      <c r="E86" s="29" t="s">
        <v>87</v>
      </c>
      <c r="F86" s="29" t="s">
        <v>136</v>
      </c>
      <c r="G86" s="30"/>
      <c r="H86" s="31"/>
    </row>
    <row r="87" spans="1:8">
      <c r="B87" s="29">
        <v>24</v>
      </c>
      <c r="C87" s="29" t="s">
        <v>22</v>
      </c>
      <c r="D87" s="29" t="s">
        <v>137</v>
      </c>
      <c r="E87" s="29" t="s">
        <v>87</v>
      </c>
      <c r="F87" s="29" t="s">
        <v>137</v>
      </c>
      <c r="G87" s="30"/>
      <c r="H87" s="31"/>
    </row>
    <row r="88" spans="1:8">
      <c r="B88" s="29">
        <v>25</v>
      </c>
      <c r="C88" s="29" t="s">
        <v>22</v>
      </c>
      <c r="D88" s="29" t="s">
        <v>138</v>
      </c>
      <c r="E88" s="29" t="s">
        <v>87</v>
      </c>
      <c r="F88" s="29" t="s">
        <v>138</v>
      </c>
      <c r="G88" s="30"/>
      <c r="H88" s="31"/>
    </row>
    <row r="89" spans="1:8">
      <c r="B89" s="29">
        <v>26</v>
      </c>
      <c r="C89" s="29" t="s">
        <v>22</v>
      </c>
      <c r="D89" s="29" t="s">
        <v>139</v>
      </c>
      <c r="E89" s="29" t="s">
        <v>87</v>
      </c>
      <c r="F89" s="29" t="s">
        <v>139</v>
      </c>
      <c r="G89" s="30"/>
      <c r="H89" s="31"/>
    </row>
    <row r="90" spans="1:8">
      <c r="B90" s="29">
        <v>27</v>
      </c>
      <c r="C90" s="29" t="s">
        <v>22</v>
      </c>
      <c r="D90" s="29" t="s">
        <v>140</v>
      </c>
      <c r="E90" s="29" t="s">
        <v>87</v>
      </c>
      <c r="F90" s="29" t="s">
        <v>140</v>
      </c>
      <c r="G90" s="30"/>
      <c r="H90" s="31"/>
    </row>
    <row r="91" spans="1:8">
      <c r="B91" s="29">
        <v>28</v>
      </c>
      <c r="C91" s="29" t="s">
        <v>22</v>
      </c>
      <c r="D91" s="29" t="s">
        <v>144</v>
      </c>
      <c r="E91" s="29" t="s">
        <v>150</v>
      </c>
      <c r="F91" s="29" t="s">
        <v>150</v>
      </c>
      <c r="G91" s="30" t="s">
        <v>145</v>
      </c>
      <c r="H91" s="31" t="s">
        <v>143</v>
      </c>
    </row>
    <row r="93" spans="1:8">
      <c r="A93" s="25">
        <f>A61+1</f>
        <v>6</v>
      </c>
      <c r="B93" s="24" t="str">
        <f ca="1">OFFSET(TB一覧!$B$3,TB定義!A93-1,0)</f>
        <v>T03</v>
      </c>
      <c r="C93" s="24" t="str">
        <f ca="1">OFFSET(TB一覧!$B$3,TB定義!A93-1,1)</f>
        <v>数値検査_LOG_work</v>
      </c>
    </row>
    <row r="94" spans="1:8">
      <c r="B94" s="26" t="s">
        <v>16</v>
      </c>
      <c r="C94" s="27"/>
      <c r="D94" s="28"/>
      <c r="E94" s="26" t="s">
        <v>17</v>
      </c>
      <c r="F94" s="27"/>
      <c r="G94" s="27"/>
      <c r="H94" s="45"/>
    </row>
    <row r="95" spans="1:8">
      <c r="B95" s="26" t="s">
        <v>4</v>
      </c>
      <c r="C95" s="26" t="s">
        <v>18</v>
      </c>
      <c r="D95" s="26" t="s">
        <v>19</v>
      </c>
      <c r="E95" s="26" t="s">
        <v>20</v>
      </c>
      <c r="F95" s="26" t="s">
        <v>19</v>
      </c>
      <c r="G95" s="26" t="s">
        <v>21</v>
      </c>
      <c r="H95" s="46" t="s">
        <v>8</v>
      </c>
    </row>
    <row r="96" spans="1:8">
      <c r="B96" s="29">
        <v>1</v>
      </c>
      <c r="C96" s="29" t="s">
        <v>22</v>
      </c>
      <c r="D96" s="29" t="s">
        <v>120</v>
      </c>
      <c r="E96" s="29" t="s">
        <v>119</v>
      </c>
      <c r="F96" s="29" t="s">
        <v>147</v>
      </c>
      <c r="G96" s="30"/>
      <c r="H96" s="31"/>
    </row>
    <row r="97" spans="2:8">
      <c r="B97" s="29">
        <v>2</v>
      </c>
      <c r="C97" s="29" t="s">
        <v>22</v>
      </c>
      <c r="D97" s="29" t="s">
        <v>141</v>
      </c>
      <c r="E97" s="29" t="s">
        <v>119</v>
      </c>
      <c r="F97" s="29" t="s">
        <v>141</v>
      </c>
      <c r="G97" s="30"/>
      <c r="H97" s="31"/>
    </row>
    <row r="98" spans="2:8">
      <c r="B98" s="29">
        <v>3</v>
      </c>
      <c r="C98" s="29" t="s">
        <v>22</v>
      </c>
      <c r="D98" s="29" t="s">
        <v>103</v>
      </c>
      <c r="E98" s="29" t="s">
        <v>119</v>
      </c>
      <c r="F98" s="29" t="s">
        <v>103</v>
      </c>
      <c r="G98" s="30"/>
      <c r="H98" s="31"/>
    </row>
    <row r="99" spans="2:8">
      <c r="B99" s="29">
        <v>4</v>
      </c>
      <c r="C99" s="29" t="s">
        <v>22</v>
      </c>
      <c r="D99" s="29" t="s">
        <v>122</v>
      </c>
      <c r="E99" s="29" t="s">
        <v>119</v>
      </c>
      <c r="F99" s="29" t="s">
        <v>122</v>
      </c>
      <c r="G99" s="30"/>
      <c r="H99" s="31"/>
    </row>
    <row r="100" spans="2:8">
      <c r="B100" s="29">
        <v>5</v>
      </c>
      <c r="C100" s="29" t="s">
        <v>22</v>
      </c>
      <c r="D100" s="29" t="s">
        <v>45</v>
      </c>
      <c r="E100" s="29" t="s">
        <v>119</v>
      </c>
      <c r="F100" s="29" t="s">
        <v>45</v>
      </c>
      <c r="G100" s="30"/>
      <c r="H100" s="31"/>
    </row>
    <row r="101" spans="2:8">
      <c r="B101" s="29">
        <v>6</v>
      </c>
      <c r="C101" s="29" t="s">
        <v>22</v>
      </c>
      <c r="D101" s="29" t="s">
        <v>123</v>
      </c>
      <c r="E101" s="29" t="s">
        <v>119</v>
      </c>
      <c r="F101" s="29" t="s">
        <v>123</v>
      </c>
      <c r="G101" s="30"/>
      <c r="H101" s="31"/>
    </row>
    <row r="102" spans="2:8">
      <c r="B102" s="29">
        <v>7</v>
      </c>
      <c r="C102" s="29" t="s">
        <v>22</v>
      </c>
      <c r="D102" s="29" t="s">
        <v>124</v>
      </c>
      <c r="E102" s="29" t="s">
        <v>119</v>
      </c>
      <c r="F102" s="29" t="s">
        <v>124</v>
      </c>
      <c r="G102" s="30"/>
      <c r="H102" s="31"/>
    </row>
    <row r="103" spans="2:8">
      <c r="B103" s="29">
        <v>8</v>
      </c>
      <c r="C103" s="29" t="s">
        <v>22</v>
      </c>
      <c r="D103" s="29" t="s">
        <v>125</v>
      </c>
      <c r="E103" s="29" t="s">
        <v>119</v>
      </c>
      <c r="F103" s="29" t="s">
        <v>125</v>
      </c>
      <c r="G103" s="30"/>
      <c r="H103" s="31"/>
    </row>
    <row r="104" spans="2:8">
      <c r="B104" s="29">
        <v>9</v>
      </c>
      <c r="C104" s="29" t="s">
        <v>22</v>
      </c>
      <c r="D104" s="29" t="s">
        <v>126</v>
      </c>
      <c r="E104" s="29" t="s">
        <v>119</v>
      </c>
      <c r="F104" s="29" t="s">
        <v>126</v>
      </c>
      <c r="G104" s="30"/>
      <c r="H104" s="31"/>
    </row>
    <row r="105" spans="2:8">
      <c r="B105" s="29">
        <v>10</v>
      </c>
      <c r="C105" s="29" t="s">
        <v>22</v>
      </c>
      <c r="D105" s="29" t="s">
        <v>127</v>
      </c>
      <c r="E105" s="29" t="s">
        <v>119</v>
      </c>
      <c r="F105" s="29" t="s">
        <v>127</v>
      </c>
      <c r="G105" s="30"/>
      <c r="H105" s="31"/>
    </row>
    <row r="106" spans="2:8">
      <c r="B106" s="29">
        <v>11</v>
      </c>
      <c r="C106" s="29" t="s">
        <v>22</v>
      </c>
      <c r="D106" s="29" t="s">
        <v>59</v>
      </c>
      <c r="E106" s="29" t="s">
        <v>119</v>
      </c>
      <c r="F106" s="29" t="s">
        <v>59</v>
      </c>
      <c r="G106" s="30"/>
      <c r="H106" s="31"/>
    </row>
    <row r="107" spans="2:8">
      <c r="B107" s="29">
        <v>12</v>
      </c>
      <c r="C107" s="29" t="s">
        <v>22</v>
      </c>
      <c r="D107" s="29" t="s">
        <v>104</v>
      </c>
      <c r="E107" s="29" t="s">
        <v>119</v>
      </c>
      <c r="F107" s="29" t="s">
        <v>104</v>
      </c>
      <c r="G107" s="30"/>
      <c r="H107" s="31"/>
    </row>
    <row r="108" spans="2:8">
      <c r="B108" s="29">
        <v>13</v>
      </c>
      <c r="C108" s="29" t="s">
        <v>22</v>
      </c>
      <c r="D108" s="29" t="s">
        <v>52</v>
      </c>
      <c r="E108" s="29" t="s">
        <v>119</v>
      </c>
      <c r="F108" s="29" t="s">
        <v>52</v>
      </c>
      <c r="G108" s="30"/>
      <c r="H108" s="31"/>
    </row>
    <row r="109" spans="2:8">
      <c r="B109" s="29">
        <v>14</v>
      </c>
      <c r="C109" s="29" t="s">
        <v>22</v>
      </c>
      <c r="D109" s="29" t="s">
        <v>128</v>
      </c>
      <c r="E109" s="29" t="s">
        <v>119</v>
      </c>
      <c r="F109" s="29" t="s">
        <v>128</v>
      </c>
      <c r="G109" s="30"/>
      <c r="H109" s="31"/>
    </row>
    <row r="110" spans="2:8">
      <c r="B110" s="29">
        <v>15</v>
      </c>
      <c r="C110" s="29" t="s">
        <v>22</v>
      </c>
      <c r="D110" s="29" t="s">
        <v>129</v>
      </c>
      <c r="E110" s="29" t="s">
        <v>119</v>
      </c>
      <c r="F110" s="29" t="s">
        <v>129</v>
      </c>
      <c r="G110" s="30"/>
      <c r="H110" s="31"/>
    </row>
    <row r="111" spans="2:8">
      <c r="B111" s="29">
        <v>16</v>
      </c>
      <c r="C111" s="29" t="s">
        <v>22</v>
      </c>
      <c r="D111" s="29" t="s">
        <v>130</v>
      </c>
      <c r="E111" s="29" t="s">
        <v>119</v>
      </c>
      <c r="F111" s="29" t="s">
        <v>130</v>
      </c>
      <c r="G111" s="30"/>
      <c r="H111" s="31"/>
    </row>
    <row r="112" spans="2:8">
      <c r="B112" s="29">
        <v>17</v>
      </c>
      <c r="C112" s="29" t="s">
        <v>22</v>
      </c>
      <c r="D112" s="29" t="s">
        <v>118</v>
      </c>
      <c r="E112" s="29" t="s">
        <v>119</v>
      </c>
      <c r="F112" s="29" t="s">
        <v>118</v>
      </c>
      <c r="G112" s="30"/>
      <c r="H112" s="31"/>
    </row>
    <row r="113" spans="1:8">
      <c r="B113" s="29">
        <v>18</v>
      </c>
      <c r="C113" s="29" t="s">
        <v>22</v>
      </c>
      <c r="D113" s="29" t="s">
        <v>131</v>
      </c>
      <c r="E113" s="29" t="s">
        <v>119</v>
      </c>
      <c r="F113" s="29" t="s">
        <v>131</v>
      </c>
      <c r="G113" s="30"/>
      <c r="H113" s="31"/>
    </row>
    <row r="114" spans="1:8">
      <c r="B114" s="29">
        <v>19</v>
      </c>
      <c r="C114" s="29" t="s">
        <v>22</v>
      </c>
      <c r="D114" s="29" t="s">
        <v>132</v>
      </c>
      <c r="E114" s="29" t="s">
        <v>119</v>
      </c>
      <c r="F114" s="29" t="s">
        <v>132</v>
      </c>
      <c r="G114" s="30"/>
      <c r="H114" s="31"/>
    </row>
    <row r="115" spans="1:8">
      <c r="B115" s="29">
        <v>20</v>
      </c>
      <c r="C115" s="29" t="s">
        <v>22</v>
      </c>
      <c r="D115" s="29" t="s">
        <v>133</v>
      </c>
      <c r="E115" s="29" t="s">
        <v>119</v>
      </c>
      <c r="F115" s="29" t="s">
        <v>133</v>
      </c>
      <c r="G115" s="30"/>
      <c r="H115" s="31"/>
    </row>
    <row r="116" spans="1:8">
      <c r="B116" s="29">
        <v>21</v>
      </c>
      <c r="C116" s="29" t="s">
        <v>22</v>
      </c>
      <c r="D116" s="29" t="s">
        <v>134</v>
      </c>
      <c r="E116" s="29" t="s">
        <v>119</v>
      </c>
      <c r="F116" s="29" t="s">
        <v>134</v>
      </c>
      <c r="G116" s="30"/>
      <c r="H116" s="31"/>
    </row>
    <row r="117" spans="1:8">
      <c r="B117" s="29">
        <v>22</v>
      </c>
      <c r="C117" s="29" t="s">
        <v>22</v>
      </c>
      <c r="D117" s="29" t="s">
        <v>135</v>
      </c>
      <c r="E117" s="29" t="s">
        <v>119</v>
      </c>
      <c r="F117" s="29" t="s">
        <v>135</v>
      </c>
      <c r="G117" s="30"/>
      <c r="H117" s="31"/>
    </row>
    <row r="118" spans="1:8">
      <c r="B118" s="29">
        <v>23</v>
      </c>
      <c r="C118" s="29" t="s">
        <v>22</v>
      </c>
      <c r="D118" s="29" t="s">
        <v>136</v>
      </c>
      <c r="E118" s="29" t="s">
        <v>119</v>
      </c>
      <c r="F118" s="29" t="s">
        <v>136</v>
      </c>
      <c r="G118" s="30"/>
      <c r="H118" s="31"/>
    </row>
    <row r="119" spans="1:8">
      <c r="B119" s="29">
        <v>24</v>
      </c>
      <c r="C119" s="29" t="s">
        <v>22</v>
      </c>
      <c r="D119" s="29" t="s">
        <v>137</v>
      </c>
      <c r="E119" s="29" t="s">
        <v>119</v>
      </c>
      <c r="F119" s="29" t="s">
        <v>137</v>
      </c>
      <c r="G119" s="30"/>
      <c r="H119" s="31"/>
    </row>
    <row r="120" spans="1:8">
      <c r="B120" s="29">
        <v>25</v>
      </c>
      <c r="C120" s="29" t="s">
        <v>22</v>
      </c>
      <c r="D120" s="29" t="s">
        <v>138</v>
      </c>
      <c r="E120" s="29" t="s">
        <v>119</v>
      </c>
      <c r="F120" s="29" t="s">
        <v>138</v>
      </c>
      <c r="G120" s="30"/>
      <c r="H120" s="31"/>
    </row>
    <row r="121" spans="1:8">
      <c r="B121" s="29">
        <v>26</v>
      </c>
      <c r="C121" s="29" t="s">
        <v>22</v>
      </c>
      <c r="D121" s="29" t="s">
        <v>139</v>
      </c>
      <c r="E121" s="29" t="s">
        <v>119</v>
      </c>
      <c r="F121" s="29" t="s">
        <v>139</v>
      </c>
      <c r="G121" s="30"/>
      <c r="H121" s="31"/>
    </row>
    <row r="122" spans="1:8">
      <c r="B122" s="29">
        <v>27</v>
      </c>
      <c r="C122" s="29" t="s">
        <v>22</v>
      </c>
      <c r="D122" s="29" t="s">
        <v>148</v>
      </c>
      <c r="E122" s="29" t="s">
        <v>119</v>
      </c>
      <c r="F122" s="29"/>
      <c r="G122" s="30" t="s">
        <v>149</v>
      </c>
      <c r="H122" s="31" t="s">
        <v>143</v>
      </c>
    </row>
    <row r="123" spans="1:8">
      <c r="B123" s="29">
        <v>28</v>
      </c>
      <c r="C123" s="29" t="s">
        <v>22</v>
      </c>
      <c r="D123" s="29" t="s">
        <v>144</v>
      </c>
      <c r="E123" s="29" t="s">
        <v>150</v>
      </c>
      <c r="F123" s="29" t="s">
        <v>150</v>
      </c>
      <c r="G123" s="30" t="s">
        <v>145</v>
      </c>
      <c r="H123" s="31" t="s">
        <v>143</v>
      </c>
    </row>
    <row r="125" spans="1:8">
      <c r="A125" s="25">
        <f>A93+1</f>
        <v>7</v>
      </c>
      <c r="B125" s="24" t="str">
        <f ca="1">OFFSET(TB一覧!$B$3,TB定義!A125-1,0)</f>
        <v>T04</v>
      </c>
      <c r="C125" s="24" t="str">
        <f ca="1">OFFSET(TB一覧!$B$3,TB定義!A125-1,1)</f>
        <v>数値検査_LOG</v>
      </c>
    </row>
    <row r="126" spans="1:8">
      <c r="B126" s="26" t="s">
        <v>16</v>
      </c>
      <c r="C126" s="27"/>
      <c r="D126" s="28"/>
      <c r="E126" s="26" t="s">
        <v>17</v>
      </c>
      <c r="F126" s="27"/>
      <c r="G126" s="27"/>
      <c r="H126" s="45"/>
    </row>
    <row r="127" spans="1:8">
      <c r="B127" s="26" t="s">
        <v>4</v>
      </c>
      <c r="C127" s="26" t="s">
        <v>18</v>
      </c>
      <c r="D127" s="26" t="s">
        <v>19</v>
      </c>
      <c r="E127" s="26" t="s">
        <v>20</v>
      </c>
      <c r="F127" s="26" t="s">
        <v>19</v>
      </c>
      <c r="G127" s="26" t="s">
        <v>21</v>
      </c>
      <c r="H127" s="46" t="s">
        <v>8</v>
      </c>
    </row>
    <row r="128" spans="1:8">
      <c r="B128" s="29">
        <v>1</v>
      </c>
      <c r="C128" s="29" t="s">
        <v>22</v>
      </c>
      <c r="D128" s="29" t="s">
        <v>120</v>
      </c>
      <c r="E128" s="29" t="s">
        <v>92</v>
      </c>
      <c r="F128" s="29" t="s">
        <v>120</v>
      </c>
      <c r="G128" s="30"/>
      <c r="H128" s="31"/>
    </row>
    <row r="129" spans="2:8">
      <c r="B129" s="29">
        <v>2</v>
      </c>
      <c r="C129" s="29" t="s">
        <v>22</v>
      </c>
      <c r="D129" s="29" t="s">
        <v>141</v>
      </c>
      <c r="E129" s="29" t="s">
        <v>92</v>
      </c>
      <c r="F129" s="29" t="s">
        <v>141</v>
      </c>
      <c r="G129" s="30"/>
      <c r="H129" s="31"/>
    </row>
    <row r="130" spans="2:8">
      <c r="B130" s="29">
        <v>3</v>
      </c>
      <c r="C130" s="29" t="s">
        <v>22</v>
      </c>
      <c r="D130" s="29" t="s">
        <v>103</v>
      </c>
      <c r="E130" s="29" t="s">
        <v>92</v>
      </c>
      <c r="F130" s="29" t="s">
        <v>103</v>
      </c>
      <c r="G130" s="30"/>
      <c r="H130" s="31"/>
    </row>
    <row r="131" spans="2:8">
      <c r="B131" s="29">
        <v>4</v>
      </c>
      <c r="C131" s="29" t="s">
        <v>22</v>
      </c>
      <c r="D131" s="29" t="s">
        <v>122</v>
      </c>
      <c r="E131" s="29" t="s">
        <v>92</v>
      </c>
      <c r="F131" s="29" t="s">
        <v>122</v>
      </c>
      <c r="G131" s="30"/>
      <c r="H131" s="31"/>
    </row>
    <row r="132" spans="2:8">
      <c r="B132" s="29">
        <v>5</v>
      </c>
      <c r="C132" s="29" t="s">
        <v>22</v>
      </c>
      <c r="D132" s="29" t="s">
        <v>45</v>
      </c>
      <c r="E132" s="29" t="s">
        <v>92</v>
      </c>
      <c r="F132" s="29" t="s">
        <v>45</v>
      </c>
      <c r="G132" s="30"/>
      <c r="H132" s="31"/>
    </row>
    <row r="133" spans="2:8">
      <c r="B133" s="29">
        <v>6</v>
      </c>
      <c r="C133" s="29" t="s">
        <v>22</v>
      </c>
      <c r="D133" s="29" t="s">
        <v>123</v>
      </c>
      <c r="E133" s="29" t="s">
        <v>92</v>
      </c>
      <c r="F133" s="29" t="s">
        <v>123</v>
      </c>
      <c r="G133" s="30"/>
      <c r="H133" s="31"/>
    </row>
    <row r="134" spans="2:8">
      <c r="B134" s="29">
        <v>7</v>
      </c>
      <c r="C134" s="29" t="s">
        <v>22</v>
      </c>
      <c r="D134" s="29" t="s">
        <v>124</v>
      </c>
      <c r="E134" s="29" t="s">
        <v>92</v>
      </c>
      <c r="F134" s="29" t="s">
        <v>124</v>
      </c>
      <c r="G134" s="30"/>
      <c r="H134" s="31"/>
    </row>
    <row r="135" spans="2:8">
      <c r="B135" s="29">
        <v>8</v>
      </c>
      <c r="C135" s="29" t="s">
        <v>22</v>
      </c>
      <c r="D135" s="29" t="s">
        <v>125</v>
      </c>
      <c r="E135" s="29" t="s">
        <v>92</v>
      </c>
      <c r="F135" s="29" t="s">
        <v>125</v>
      </c>
      <c r="G135" s="30"/>
      <c r="H135" s="31"/>
    </row>
    <row r="136" spans="2:8">
      <c r="B136" s="29">
        <v>9</v>
      </c>
      <c r="C136" s="29" t="s">
        <v>22</v>
      </c>
      <c r="D136" s="29" t="s">
        <v>126</v>
      </c>
      <c r="E136" s="29" t="s">
        <v>92</v>
      </c>
      <c r="F136" s="29" t="s">
        <v>126</v>
      </c>
      <c r="G136" s="30"/>
      <c r="H136" s="31"/>
    </row>
    <row r="137" spans="2:8">
      <c r="B137" s="29">
        <v>10</v>
      </c>
      <c r="C137" s="29" t="s">
        <v>22</v>
      </c>
      <c r="D137" s="29" t="s">
        <v>127</v>
      </c>
      <c r="E137" s="29" t="s">
        <v>92</v>
      </c>
      <c r="F137" s="29" t="s">
        <v>127</v>
      </c>
      <c r="G137" s="30"/>
      <c r="H137" s="31"/>
    </row>
    <row r="138" spans="2:8">
      <c r="B138" s="29">
        <v>11</v>
      </c>
      <c r="C138" s="29" t="s">
        <v>22</v>
      </c>
      <c r="D138" s="29" t="s">
        <v>59</v>
      </c>
      <c r="E138" s="29" t="s">
        <v>92</v>
      </c>
      <c r="F138" s="29" t="s">
        <v>59</v>
      </c>
      <c r="G138" s="30"/>
      <c r="H138" s="31"/>
    </row>
    <row r="139" spans="2:8">
      <c r="B139" s="29">
        <v>12</v>
      </c>
      <c r="C139" s="29" t="s">
        <v>22</v>
      </c>
      <c r="D139" s="29" t="s">
        <v>104</v>
      </c>
      <c r="E139" s="29" t="s">
        <v>92</v>
      </c>
      <c r="F139" s="29" t="s">
        <v>104</v>
      </c>
      <c r="G139" s="30"/>
      <c r="H139" s="31"/>
    </row>
    <row r="140" spans="2:8">
      <c r="B140" s="29">
        <v>13</v>
      </c>
      <c r="C140" s="29" t="s">
        <v>22</v>
      </c>
      <c r="D140" s="29" t="s">
        <v>52</v>
      </c>
      <c r="E140" s="29" t="s">
        <v>92</v>
      </c>
      <c r="F140" s="29" t="s">
        <v>52</v>
      </c>
      <c r="G140" s="30"/>
      <c r="H140" s="31"/>
    </row>
    <row r="141" spans="2:8">
      <c r="B141" s="29">
        <v>14</v>
      </c>
      <c r="C141" s="29" t="s">
        <v>22</v>
      </c>
      <c r="D141" s="29" t="s">
        <v>128</v>
      </c>
      <c r="E141" s="29" t="s">
        <v>92</v>
      </c>
      <c r="F141" s="29" t="s">
        <v>128</v>
      </c>
      <c r="G141" s="30"/>
      <c r="H141" s="31"/>
    </row>
    <row r="142" spans="2:8">
      <c r="B142" s="29">
        <v>15</v>
      </c>
      <c r="C142" s="29" t="s">
        <v>22</v>
      </c>
      <c r="D142" s="29" t="s">
        <v>129</v>
      </c>
      <c r="E142" s="29" t="s">
        <v>92</v>
      </c>
      <c r="F142" s="29" t="s">
        <v>129</v>
      </c>
      <c r="G142" s="30"/>
      <c r="H142" s="31"/>
    </row>
    <row r="143" spans="2:8">
      <c r="B143" s="29">
        <v>16</v>
      </c>
      <c r="C143" s="29" t="s">
        <v>22</v>
      </c>
      <c r="D143" s="29" t="s">
        <v>130</v>
      </c>
      <c r="E143" s="29" t="s">
        <v>92</v>
      </c>
      <c r="F143" s="29" t="s">
        <v>130</v>
      </c>
      <c r="G143" s="30"/>
      <c r="H143" s="31"/>
    </row>
    <row r="144" spans="2:8">
      <c r="B144" s="29">
        <v>17</v>
      </c>
      <c r="C144" s="29" t="s">
        <v>22</v>
      </c>
      <c r="D144" s="29" t="s">
        <v>118</v>
      </c>
      <c r="E144" s="29" t="s">
        <v>92</v>
      </c>
      <c r="F144" s="29" t="s">
        <v>118</v>
      </c>
      <c r="G144" s="30"/>
      <c r="H144" s="31"/>
    </row>
    <row r="145" spans="2:8">
      <c r="B145" s="29">
        <v>18</v>
      </c>
      <c r="C145" s="29" t="s">
        <v>22</v>
      </c>
      <c r="D145" s="29" t="s">
        <v>131</v>
      </c>
      <c r="E145" s="29" t="s">
        <v>92</v>
      </c>
      <c r="F145" s="29" t="s">
        <v>131</v>
      </c>
      <c r="G145" s="30"/>
      <c r="H145" s="31"/>
    </row>
    <row r="146" spans="2:8">
      <c r="B146" s="29">
        <v>19</v>
      </c>
      <c r="C146" s="29" t="s">
        <v>22</v>
      </c>
      <c r="D146" s="29" t="s">
        <v>132</v>
      </c>
      <c r="E146" s="29" t="s">
        <v>92</v>
      </c>
      <c r="F146" s="29" t="s">
        <v>132</v>
      </c>
      <c r="G146" s="30"/>
      <c r="H146" s="31"/>
    </row>
    <row r="147" spans="2:8">
      <c r="B147" s="29">
        <v>20</v>
      </c>
      <c r="C147" s="29" t="s">
        <v>22</v>
      </c>
      <c r="D147" s="29" t="s">
        <v>133</v>
      </c>
      <c r="E147" s="29" t="s">
        <v>92</v>
      </c>
      <c r="F147" s="29" t="s">
        <v>133</v>
      </c>
      <c r="G147" s="30"/>
      <c r="H147" s="31"/>
    </row>
    <row r="148" spans="2:8">
      <c r="B148" s="29">
        <v>21</v>
      </c>
      <c r="C148" s="29" t="s">
        <v>22</v>
      </c>
      <c r="D148" s="29" t="s">
        <v>134</v>
      </c>
      <c r="E148" s="29" t="s">
        <v>92</v>
      </c>
      <c r="F148" s="29" t="s">
        <v>134</v>
      </c>
      <c r="G148" s="30"/>
      <c r="H148" s="31"/>
    </row>
    <row r="149" spans="2:8">
      <c r="B149" s="29">
        <v>22</v>
      </c>
      <c r="C149" s="29" t="s">
        <v>22</v>
      </c>
      <c r="D149" s="29" t="s">
        <v>135</v>
      </c>
      <c r="E149" s="29" t="s">
        <v>92</v>
      </c>
      <c r="F149" s="29" t="s">
        <v>135</v>
      </c>
      <c r="G149" s="30"/>
      <c r="H149" s="31"/>
    </row>
    <row r="150" spans="2:8">
      <c r="B150" s="29">
        <v>23</v>
      </c>
      <c r="C150" s="29" t="s">
        <v>22</v>
      </c>
      <c r="D150" s="29" t="s">
        <v>136</v>
      </c>
      <c r="E150" s="29" t="s">
        <v>92</v>
      </c>
      <c r="F150" s="29" t="s">
        <v>136</v>
      </c>
      <c r="G150" s="30"/>
      <c r="H150" s="31"/>
    </row>
    <row r="151" spans="2:8">
      <c r="B151" s="29">
        <v>24</v>
      </c>
      <c r="C151" s="29" t="s">
        <v>22</v>
      </c>
      <c r="D151" s="29" t="s">
        <v>137</v>
      </c>
      <c r="E151" s="29" t="s">
        <v>92</v>
      </c>
      <c r="F151" s="29" t="s">
        <v>137</v>
      </c>
      <c r="G151" s="30"/>
      <c r="H151" s="31"/>
    </row>
    <row r="152" spans="2:8">
      <c r="B152" s="29">
        <v>25</v>
      </c>
      <c r="C152" s="29" t="s">
        <v>22</v>
      </c>
      <c r="D152" s="29" t="s">
        <v>138</v>
      </c>
      <c r="E152" s="29" t="s">
        <v>92</v>
      </c>
      <c r="F152" s="29" t="s">
        <v>138</v>
      </c>
      <c r="G152" s="30"/>
      <c r="H152" s="31"/>
    </row>
    <row r="153" spans="2:8">
      <c r="B153" s="29">
        <v>26</v>
      </c>
      <c r="C153" s="29" t="s">
        <v>22</v>
      </c>
      <c r="D153" s="29" t="s">
        <v>139</v>
      </c>
      <c r="E153" s="29" t="s">
        <v>92</v>
      </c>
      <c r="F153" s="29" t="s">
        <v>139</v>
      </c>
      <c r="G153" s="30"/>
      <c r="H153" s="31"/>
    </row>
    <row r="154" spans="2:8">
      <c r="B154" s="29">
        <v>27</v>
      </c>
      <c r="C154" s="29" t="s">
        <v>22</v>
      </c>
      <c r="D154" s="29" t="s">
        <v>148</v>
      </c>
      <c r="E154" s="29" t="s">
        <v>92</v>
      </c>
      <c r="F154" s="29"/>
      <c r="G154" s="30"/>
      <c r="H154" s="31"/>
    </row>
    <row r="155" spans="2:8">
      <c r="B155" s="29">
        <v>28</v>
      </c>
      <c r="C155" s="29" t="s">
        <v>22</v>
      </c>
      <c r="D155" s="29" t="s">
        <v>144</v>
      </c>
      <c r="E155" s="29" t="s">
        <v>92</v>
      </c>
      <c r="F155" s="29" t="s">
        <v>150</v>
      </c>
      <c r="G155" s="30"/>
      <c r="H155" s="31"/>
    </row>
    <row r="156" spans="2:8">
      <c r="B156" s="29">
        <v>29</v>
      </c>
      <c r="C156" s="29" t="s">
        <v>22</v>
      </c>
      <c r="D156" s="29" t="s">
        <v>151</v>
      </c>
      <c r="E156" s="29" t="s">
        <v>91</v>
      </c>
      <c r="F156" s="29" t="s">
        <v>118</v>
      </c>
      <c r="G156" s="30"/>
      <c r="H156" s="31"/>
    </row>
    <row r="157" spans="2:8">
      <c r="B157" s="29">
        <v>30</v>
      </c>
      <c r="C157" s="29" t="s">
        <v>22</v>
      </c>
      <c r="D157" s="29" t="s">
        <v>152</v>
      </c>
      <c r="E157" s="29" t="s">
        <v>157</v>
      </c>
      <c r="F157" s="29" t="s">
        <v>158</v>
      </c>
      <c r="G157" s="30"/>
      <c r="H157" s="31"/>
    </row>
    <row r="158" spans="2:8">
      <c r="B158" s="29">
        <v>31</v>
      </c>
      <c r="C158" s="29" t="s">
        <v>22</v>
      </c>
      <c r="D158" s="29" t="s">
        <v>153</v>
      </c>
      <c r="E158" s="29"/>
      <c r="F158" s="29" t="s">
        <v>150</v>
      </c>
      <c r="G158" s="30" t="s">
        <v>160</v>
      </c>
      <c r="H158" s="31" t="s">
        <v>143</v>
      </c>
    </row>
    <row r="159" spans="2:8">
      <c r="B159" s="29">
        <v>32</v>
      </c>
      <c r="C159" s="29" t="s">
        <v>161</v>
      </c>
      <c r="D159" s="29" t="s">
        <v>154</v>
      </c>
      <c r="E159" s="29"/>
      <c r="F159" s="29" t="s">
        <v>150</v>
      </c>
      <c r="G159" s="30"/>
      <c r="H159" s="31" t="s">
        <v>162</v>
      </c>
    </row>
    <row r="160" spans="2:8" ht="30">
      <c r="B160" s="29">
        <v>33</v>
      </c>
      <c r="C160" s="29" t="s">
        <v>22</v>
      </c>
      <c r="D160" s="29" t="s">
        <v>155</v>
      </c>
      <c r="E160" s="29"/>
      <c r="F160" s="29" t="s">
        <v>150</v>
      </c>
      <c r="G160" s="47" t="s">
        <v>159</v>
      </c>
      <c r="H160" s="31" t="s">
        <v>143</v>
      </c>
    </row>
    <row r="161" spans="2:8">
      <c r="B161" s="29">
        <v>34</v>
      </c>
      <c r="C161" s="29" t="s">
        <v>22</v>
      </c>
      <c r="D161" s="29" t="s">
        <v>156</v>
      </c>
      <c r="E161" s="29" t="s">
        <v>157</v>
      </c>
      <c r="F161" s="29" t="s">
        <v>158</v>
      </c>
      <c r="G161" s="47"/>
      <c r="H161" s="31"/>
    </row>
    <row r="162" spans="2:8" ht="30">
      <c r="B162" s="29">
        <v>35</v>
      </c>
      <c r="C162" s="29" t="s">
        <v>75</v>
      </c>
      <c r="D162" s="2" t="s">
        <v>76</v>
      </c>
      <c r="E162" s="29" t="s">
        <v>150</v>
      </c>
      <c r="F162" s="29" t="s">
        <v>150</v>
      </c>
      <c r="G162" s="47" t="s">
        <v>163</v>
      </c>
      <c r="H162" s="31"/>
    </row>
    <row r="163" spans="2:8" ht="30">
      <c r="B163" s="29">
        <v>36</v>
      </c>
      <c r="C163" s="29" t="s">
        <v>75</v>
      </c>
      <c r="D163" s="2" t="s">
        <v>77</v>
      </c>
      <c r="E163" s="29" t="s">
        <v>150</v>
      </c>
      <c r="F163" s="29" t="s">
        <v>150</v>
      </c>
      <c r="G163" s="47" t="s">
        <v>164</v>
      </c>
      <c r="H163" s="31"/>
    </row>
    <row r="164" spans="2:8" ht="30">
      <c r="B164" s="29">
        <v>37</v>
      </c>
      <c r="C164" s="29" t="s">
        <v>75</v>
      </c>
      <c r="D164" s="2" t="s">
        <v>78</v>
      </c>
      <c r="E164" s="29" t="s">
        <v>150</v>
      </c>
      <c r="F164" s="29" t="s">
        <v>150</v>
      </c>
      <c r="G164" s="47" t="s">
        <v>165</v>
      </c>
      <c r="H164" s="31"/>
    </row>
    <row r="165" spans="2:8">
      <c r="B165" s="29">
        <v>38</v>
      </c>
      <c r="C165" s="29" t="s">
        <v>75</v>
      </c>
      <c r="D165" s="2" t="s">
        <v>79</v>
      </c>
      <c r="E165" s="29" t="s">
        <v>150</v>
      </c>
      <c r="F165" s="29" t="s">
        <v>150</v>
      </c>
      <c r="G165" s="47" t="s">
        <v>166</v>
      </c>
      <c r="H165" s="31"/>
    </row>
    <row r="166" spans="2:8">
      <c r="B166" s="29">
        <v>39</v>
      </c>
      <c r="C166" s="29" t="s">
        <v>75</v>
      </c>
      <c r="D166" s="2" t="s">
        <v>80</v>
      </c>
      <c r="E166" s="29" t="s">
        <v>150</v>
      </c>
      <c r="F166" s="29" t="s">
        <v>150</v>
      </c>
      <c r="G166" s="47" t="s">
        <v>167</v>
      </c>
      <c r="H166" s="31"/>
    </row>
    <row r="167" spans="2:8">
      <c r="B167" s="29">
        <v>40</v>
      </c>
      <c r="C167" s="29" t="s">
        <v>75</v>
      </c>
      <c r="D167" s="2" t="s">
        <v>81</v>
      </c>
      <c r="E167" s="29" t="s">
        <v>150</v>
      </c>
      <c r="F167" s="29" t="s">
        <v>150</v>
      </c>
      <c r="G167" s="47" t="s">
        <v>168</v>
      </c>
      <c r="H167" s="31"/>
    </row>
    <row r="168" spans="2:8">
      <c r="B168" s="29">
        <v>41</v>
      </c>
      <c r="C168" s="29" t="s">
        <v>75</v>
      </c>
      <c r="D168" s="2" t="s">
        <v>82</v>
      </c>
      <c r="E168" s="29" t="s">
        <v>150</v>
      </c>
      <c r="F168" s="29" t="s">
        <v>150</v>
      </c>
      <c r="G168" s="47" t="s">
        <v>169</v>
      </c>
      <c r="H168" s="31"/>
    </row>
    <row r="169" spans="2:8">
      <c r="B169" s="29">
        <v>42</v>
      </c>
      <c r="C169" s="29" t="s">
        <v>75</v>
      </c>
      <c r="D169" s="2" t="s">
        <v>83</v>
      </c>
      <c r="E169" s="29" t="s">
        <v>150</v>
      </c>
      <c r="F169" s="29" t="s">
        <v>150</v>
      </c>
      <c r="G169" s="47" t="s">
        <v>170</v>
      </c>
      <c r="H169" s="31"/>
    </row>
    <row r="170" spans="2:8">
      <c r="B170" s="29">
        <v>43</v>
      </c>
      <c r="C170" s="29" t="s">
        <v>75</v>
      </c>
      <c r="D170" s="2" t="s">
        <v>84</v>
      </c>
      <c r="E170" s="29" t="s">
        <v>150</v>
      </c>
      <c r="F170" s="29" t="s">
        <v>150</v>
      </c>
      <c r="G170" s="47" t="s">
        <v>171</v>
      </c>
      <c r="H170" s="31"/>
    </row>
  </sheetData>
  <phoneticPr fontId="1"/>
  <pageMargins left="0.70866141732283472" right="0.70866141732283472" top="0.74803149606299213" bottom="0.74803149606299213" header="0.31496062992125984" footer="0.31496062992125984"/>
  <pageSetup paperSize="9"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C8CE7FDA-BE54-4964-A412-64D64923D1EC}"/>
</file>

<file path=customXml/itemProps2.xml><?xml version="1.0" encoding="utf-8"?>
<ds:datastoreItem xmlns:ds="http://schemas.openxmlformats.org/officeDocument/2006/customXml" ds:itemID="{3E23F571-30D9-405F-9CDB-26292A5C3136}"/>
</file>

<file path=customXml/itemProps3.xml><?xml version="1.0" encoding="utf-8"?>
<ds:datastoreItem xmlns:ds="http://schemas.openxmlformats.org/officeDocument/2006/customXml" ds:itemID="{CFBA9DFC-2868-4BE3-B5DC-F383FE333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cp:lastPrinted>2025-03-24T13:15:50Z</cp:lastPrinted>
  <dcterms:created xsi:type="dcterms:W3CDTF">2015-06-05T18:19:34Z</dcterms:created>
  <dcterms:modified xsi:type="dcterms:W3CDTF">2025-07-17T08:58:37Z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