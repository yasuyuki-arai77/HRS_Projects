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044476f1f1e8ffe5/ドキュメント/01_仕事/02_案件/202501_ヒロセ電機様/000_案件/20250201_PBI設計書作成/050_設計/"/>
    </mc:Choice>
  </mc:AlternateContent>
  <xr:revisionPtr revIDLastSave="1674" documentId="13_ncr:1_{5F43FC22-8DF3-40F8-A370-ADE5A563D385}" xr6:coauthVersionLast="47" xr6:coauthVersionMax="47" xr10:uidLastSave="{6F579B25-CCA8-44EA-B308-FFFC93F7AAC6}"/>
  <bookViews>
    <workbookView xWindow="-98" yWindow="-98" windowWidth="21795" windowHeight="12975" tabRatio="832" xr2:uid="{00000000-000D-0000-FFFF-FFFF00000000}"/>
  </bookViews>
  <sheets>
    <sheet name="説明" sheetId="16" r:id="rId1"/>
    <sheet name="全体概要" sheetId="17" r:id="rId2"/>
    <sheet name="TB一覧" sheetId="13" r:id="rId3"/>
    <sheet name="TB定義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14" l="1"/>
  <c r="A16" i="14" s="1"/>
  <c r="C2" i="14"/>
  <c r="B2" i="14"/>
  <c r="A22" i="14" l="1"/>
  <c r="A40" i="14" s="1"/>
  <c r="A61" i="14" s="1"/>
  <c r="C61" i="14" s="1"/>
  <c r="C16" i="14"/>
  <c r="B16" i="14"/>
  <c r="B10" i="14"/>
  <c r="C10" i="14"/>
  <c r="C40" i="14" l="1"/>
  <c r="B40" i="14"/>
  <c r="C22" i="14"/>
  <c r="B22" i="14"/>
  <c r="B61" i="14"/>
</calcChain>
</file>

<file path=xl/sharedStrings.xml><?xml version="1.0" encoding="utf-8"?>
<sst xmlns="http://schemas.openxmlformats.org/spreadsheetml/2006/main" count="510" uniqueCount="211">
  <si>
    <t>Nコード</t>
  </si>
  <si>
    <t>全体概要</t>
    <rPh sb="0" eb="2">
      <t>ゼンタイ</t>
    </rPh>
    <rPh sb="2" eb="4">
      <t>ガイヨウ</t>
    </rPh>
    <phoneticPr fontId="2"/>
  </si>
  <si>
    <t>◆全体概要図</t>
    <rPh sb="1" eb="5">
      <t>ゼンタイガイヨウ</t>
    </rPh>
    <rPh sb="5" eb="6">
      <t>ズ</t>
    </rPh>
    <phoneticPr fontId="2"/>
  </si>
  <si>
    <t>PowerQuery</t>
    <phoneticPr fontId="2"/>
  </si>
  <si>
    <t>◆リレーション</t>
    <phoneticPr fontId="2"/>
  </si>
  <si>
    <t>No</t>
    <phoneticPr fontId="2"/>
  </si>
  <si>
    <t>画面名称</t>
    <rPh sb="0" eb="2">
      <t>ガメン</t>
    </rPh>
    <rPh sb="2" eb="4">
      <t>メイショウ</t>
    </rPh>
    <phoneticPr fontId="2"/>
  </si>
  <si>
    <t>TB一覧</t>
    <rPh sb="2" eb="4">
      <t>イチラン</t>
    </rPh>
    <phoneticPr fontId="2"/>
  </si>
  <si>
    <t>TB名</t>
    <rPh sb="2" eb="3">
      <t>メイ</t>
    </rPh>
    <phoneticPr fontId="2"/>
  </si>
  <si>
    <t>備考</t>
    <rPh sb="0" eb="2">
      <t>ビコウ</t>
    </rPh>
    <phoneticPr fontId="2"/>
  </si>
  <si>
    <t>M01</t>
    <phoneticPr fontId="2"/>
  </si>
  <si>
    <t>mst_ライン一覧</t>
    <rPh sb="7" eb="9">
      <t>イチラン</t>
    </rPh>
    <phoneticPr fontId="2"/>
  </si>
  <si>
    <t>設備PFマスタ</t>
    <rPh sb="0" eb="2">
      <t>セツビ</t>
    </rPh>
    <phoneticPr fontId="2"/>
  </si>
  <si>
    <t>M02</t>
  </si>
  <si>
    <t>mst_停止要因</t>
    <rPh sb="4" eb="6">
      <t>テイシ</t>
    </rPh>
    <rPh sb="6" eb="8">
      <t>ヨウイン</t>
    </rPh>
    <phoneticPr fontId="2"/>
  </si>
  <si>
    <t>停止要因マスタ</t>
    <rPh sb="0" eb="4">
      <t>テイシヨウイン</t>
    </rPh>
    <phoneticPr fontId="2"/>
  </si>
  <si>
    <t>T01</t>
    <phoneticPr fontId="2"/>
  </si>
  <si>
    <t>STOP_LOG</t>
  </si>
  <si>
    <t>STOP_LOGを取り込み、必要カラムを追加したTB</t>
    <rPh sb="9" eb="10">
      <t>ト</t>
    </rPh>
    <rPh sb="11" eb="12">
      <t>コ</t>
    </rPh>
    <rPh sb="14" eb="16">
      <t>ヒツヨウ</t>
    </rPh>
    <rPh sb="20" eb="22">
      <t>ツイカ</t>
    </rPh>
    <phoneticPr fontId="2"/>
  </si>
  <si>
    <t>T02</t>
    <phoneticPr fontId="2"/>
  </si>
  <si>
    <t>PROD_LOG</t>
  </si>
  <si>
    <t>PROD_LOGを取り込み、必要カラムを追加したTB</t>
    <rPh sb="9" eb="10">
      <t>ト</t>
    </rPh>
    <rPh sb="11" eb="12">
      <t>コ</t>
    </rPh>
    <rPh sb="14" eb="16">
      <t>ヒツヨウ</t>
    </rPh>
    <rPh sb="20" eb="22">
      <t>ツイカ</t>
    </rPh>
    <phoneticPr fontId="2"/>
  </si>
  <si>
    <t>TB定義</t>
    <rPh sb="2" eb="4">
      <t>テイギ</t>
    </rPh>
    <phoneticPr fontId="2"/>
  </si>
  <si>
    <t>作成TB</t>
    <rPh sb="0" eb="2">
      <t>サクセイ</t>
    </rPh>
    <phoneticPr fontId="2"/>
  </si>
  <si>
    <t>ソース</t>
    <phoneticPr fontId="2"/>
  </si>
  <si>
    <t>作成箇所</t>
    <rPh sb="0" eb="2">
      <t>サクセイ</t>
    </rPh>
    <rPh sb="2" eb="4">
      <t>カショ</t>
    </rPh>
    <phoneticPr fontId="2"/>
  </si>
  <si>
    <t>項目名</t>
    <rPh sb="0" eb="3">
      <t>コウモクメイ</t>
    </rPh>
    <phoneticPr fontId="2"/>
  </si>
  <si>
    <t>ソース名</t>
    <rPh sb="3" eb="4">
      <t>メイ</t>
    </rPh>
    <phoneticPr fontId="2"/>
  </si>
  <si>
    <t>計算式</t>
    <rPh sb="0" eb="3">
      <t>ケイサンシキ</t>
    </rPh>
    <phoneticPr fontId="2"/>
  </si>
  <si>
    <t>PQ</t>
    <phoneticPr fontId="2"/>
  </si>
  <si>
    <t>Location</t>
    <phoneticPr fontId="2"/>
  </si>
  <si>
    <t>設備PFマスタ.xlsx</t>
    <phoneticPr fontId="2"/>
  </si>
  <si>
    <t>ラインNo</t>
  </si>
  <si>
    <t>PF名</t>
  </si>
  <si>
    <t>製品型</t>
    <rPh sb="0" eb="3">
      <t>セイヒンガタ</t>
    </rPh>
    <phoneticPr fontId="2"/>
  </si>
  <si>
    <t>要因No.</t>
    <rPh sb="0" eb="2">
      <t>ヨウイン</t>
    </rPh>
    <phoneticPr fontId="2"/>
  </si>
  <si>
    <t>停止要因マスタ.xlsx</t>
    <phoneticPr fontId="2"/>
  </si>
  <si>
    <t>要因No.:停止要因項目
0:運転中
1:機械故障
2:段取り
3:計画停止
4:個品欠品
5:手配なし
6:チョコ停①
7:チョコ停②
8:チョコ停③
9:チョコ停④
10:チョコ停⑤
11:チョコ停⑥
12:未使用
13:未使用
14:未使用
15:未使用
100:チョコ停不明
200:停止要因選択ユニット無効
201:通信エラー</t>
    <phoneticPr fontId="2"/>
  </si>
  <si>
    <t>停止要因名</t>
    <rPh sb="4" eb="5">
      <t>メイ</t>
    </rPh>
    <phoneticPr fontId="2"/>
  </si>
  <si>
    <t>停止要因項目</t>
    <phoneticPr fontId="2"/>
  </si>
  <si>
    <t>datetime</t>
  </si>
  <si>
    <t>時刻</t>
    <phoneticPr fontId="2"/>
  </si>
  <si>
    <t>-</t>
    <phoneticPr fontId="2"/>
  </si>
  <si>
    <t>ラインNo</t>
    <phoneticPr fontId="2"/>
  </si>
  <si>
    <t>0:開始待/1:開始/2:停止/3:再開/4:終了</t>
    <phoneticPr fontId="2"/>
  </si>
  <si>
    <t>要因No</t>
    <phoneticPr fontId="2"/>
  </si>
  <si>
    <t>遷移終了日時</t>
  </si>
  <si>
    <t>date</t>
  </si>
  <si>
    <t>営業日</t>
  </si>
  <si>
    <t>DAX</t>
    <phoneticPr fontId="2"/>
  </si>
  <si>
    <t>Source.Name</t>
    <phoneticPr fontId="2"/>
  </si>
  <si>
    <t>ステータス</t>
    <phoneticPr fontId="2"/>
  </si>
  <si>
    <t>ラインNo_PF名</t>
    <phoneticPr fontId="2"/>
  </si>
  <si>
    <t>Row</t>
    <phoneticPr fontId="2"/>
  </si>
  <si>
    <t>Nコード</t>
    <phoneticPr fontId="1"/>
  </si>
  <si>
    <t>ラインNo.</t>
    <phoneticPr fontId="2"/>
  </si>
  <si>
    <t>1時間ごとの生産数</t>
    <phoneticPr fontId="2"/>
  </si>
  <si>
    <t>1時間ごとの不良数</t>
    <phoneticPr fontId="2"/>
  </si>
  <si>
    <t>Datetime-1hour</t>
    <phoneticPr fontId="2"/>
  </si>
  <si>
    <t>1秒判定</t>
    <phoneticPr fontId="2"/>
  </si>
  <si>
    <t>Table.AddColumn(#"名前が変更された列 ", "1秒判定", each Time.Second([datetime]))</t>
    <phoneticPr fontId="2"/>
  </si>
  <si>
    <t>Datetimeから1時間引いた値</t>
    <rPh sb="11" eb="13">
      <t>ジカン</t>
    </rPh>
    <rPh sb="13" eb="14">
      <t>ヒ</t>
    </rPh>
    <rPh sb="16" eb="17">
      <t>アタイ</t>
    </rPh>
    <phoneticPr fontId="2"/>
  </si>
  <si>
    <t>Nコード ごとにdatetimeの順番を連番で欠番が出ないランク付け</t>
    <phoneticPr fontId="2"/>
  </si>
  <si>
    <t>Nコード ごとにdatetimeの順番を連番で欠番が出ないランク付け</t>
    <phoneticPr fontId="2"/>
  </si>
  <si>
    <t>コードの意味を出力</t>
    <rPh sb="4" eb="6">
      <t>イミ</t>
    </rPh>
    <rPh sb="7" eb="9">
      <t>シュツリョク</t>
    </rPh>
    <phoneticPr fontId="2"/>
  </si>
  <si>
    <t>使用していない</t>
    <rPh sb="0" eb="2">
      <t>シヨウ</t>
    </rPh>
    <phoneticPr fontId="2"/>
  </si>
  <si>
    <t>Nコード ごとの次のステータスに遷移した時間を出力</t>
    <rPh sb="8" eb="9">
      <t>ツギ</t>
    </rPh>
    <rPh sb="16" eb="18">
      <t>センイ</t>
    </rPh>
    <rPh sb="20" eb="22">
      <t>ジカン</t>
    </rPh>
    <rPh sb="23" eb="25">
      <t>シュツリョク</t>
    </rPh>
    <phoneticPr fontId="2"/>
  </si>
  <si>
    <t>稼働状況レポートの表示名で使用</t>
    <rPh sb="0" eb="4">
      <t>カドウジョウキョウ</t>
    </rPh>
    <rPh sb="9" eb="12">
      <t>ヒョウジメイ</t>
    </rPh>
    <rPh sb="13" eb="15">
      <t>シヨウ</t>
    </rPh>
    <phoneticPr fontId="2"/>
  </si>
  <si>
    <t xml:space="preserve">Datetimeが08:00:01～翌日08:00:00までを同営業日として判別する
ただし08:00:01は出力対象外であるため、実質09:00:00～翌日08:00:00を同営業日として判別する
</t>
    <rPh sb="18" eb="20">
      <t>ヨクジツ</t>
    </rPh>
    <rPh sb="31" eb="32">
      <t>ドウ</t>
    </rPh>
    <rPh sb="32" eb="35">
      <t>エイギョウビ</t>
    </rPh>
    <rPh sb="38" eb="40">
      <t>ハンベツ</t>
    </rPh>
    <rPh sb="55" eb="60">
      <t>シュツリョクタイショウガイ</t>
    </rPh>
    <rPh sb="66" eb="68">
      <t>ジッシツ</t>
    </rPh>
    <rPh sb="77" eb="79">
      <t>ヨクジツ</t>
    </rPh>
    <rPh sb="88" eb="89">
      <t>ドウ</t>
    </rPh>
    <rPh sb="89" eb="92">
      <t>エイギョウビ</t>
    </rPh>
    <rPh sb="95" eb="97">
      <t>ハンベツ</t>
    </rPh>
    <phoneticPr fontId="2"/>
  </si>
  <si>
    <t>08:00:01を除くための判別項目
（08:00:01は生産開始時となり、生産数0のため出力対象外とする）</t>
    <rPh sb="9" eb="10">
      <t>ノゾ</t>
    </rPh>
    <rPh sb="14" eb="16">
      <t>ハンベツ</t>
    </rPh>
    <rPh sb="16" eb="18">
      <t>コウモク</t>
    </rPh>
    <rPh sb="29" eb="34">
      <t>セイサンカイシジ</t>
    </rPh>
    <rPh sb="38" eb="41">
      <t>セイサンスウ</t>
    </rPh>
    <rPh sb="45" eb="50">
      <t>シュツリョクタイショウガイ</t>
    </rPh>
    <phoneticPr fontId="2"/>
  </si>
  <si>
    <t>datetime</t>
    <phoneticPr fontId="2"/>
  </si>
  <si>
    <t>生産数</t>
    <rPh sb="0" eb="3">
      <t>セイサンスウ</t>
    </rPh>
    <phoneticPr fontId="2"/>
  </si>
  <si>
    <t>1時間当たりの生産数</t>
    <rPh sb="1" eb="3">
      <t>ジカン</t>
    </rPh>
    <rPh sb="3" eb="4">
      <t>ア</t>
    </rPh>
    <rPh sb="7" eb="10">
      <t>セイサンスウ</t>
    </rPh>
    <phoneticPr fontId="2"/>
  </si>
  <si>
    <t>例</t>
    <rPh sb="0" eb="1">
      <t>レイ</t>
    </rPh>
    <phoneticPr fontId="2"/>
  </si>
  <si>
    <t>名称</t>
    <rPh sb="0" eb="2">
      <t>メイショウ</t>
    </rPh>
    <phoneticPr fontId="2"/>
  </si>
  <si>
    <t>説明</t>
    <rPh sb="0" eb="2">
      <t>セツメイ</t>
    </rPh>
    <phoneticPr fontId="2"/>
  </si>
  <si>
    <t>稼働状況</t>
    <rPh sb="0" eb="4">
      <t>カドウジョウキョウ</t>
    </rPh>
    <phoneticPr fontId="2"/>
  </si>
  <si>
    <t>ラインNo_PFごとの稼働状況を表示</t>
    <rPh sb="11" eb="15">
      <t>カドウジョウキョウ</t>
    </rPh>
    <rPh sb="16" eb="18">
      <t>ヒョウジ</t>
    </rPh>
    <phoneticPr fontId="2"/>
  </si>
  <si>
    <t>不良数</t>
    <rPh sb="0" eb="3">
      <t>フリョウスウ</t>
    </rPh>
    <phoneticPr fontId="2"/>
  </si>
  <si>
    <t>分類</t>
    <rPh sb="0" eb="2">
      <t>ブンルイ</t>
    </rPh>
    <phoneticPr fontId="2"/>
  </si>
  <si>
    <t>Calendar</t>
    <phoneticPr fontId="2"/>
  </si>
  <si>
    <t>M03</t>
    <phoneticPr fontId="2"/>
  </si>
  <si>
    <t>カレンダーマスタ</t>
    <phoneticPr fontId="2"/>
  </si>
  <si>
    <t>年</t>
  </si>
  <si>
    <t>月</t>
  </si>
  <si>
    <t>月（英語）</t>
  </si>
  <si>
    <t>年月</t>
  </si>
  <si>
    <t>yyyy年mm月</t>
  </si>
  <si>
    <t>日</t>
  </si>
  <si>
    <t>年月日</t>
  </si>
  <si>
    <t>年/月/日</t>
  </si>
  <si>
    <t>曜日番号</t>
  </si>
  <si>
    <t>曜日</t>
  </si>
  <si>
    <t>週番号</t>
  </si>
  <si>
    <t>平日休日区分</t>
  </si>
  <si>
    <t>相対月数</t>
  </si>
  <si>
    <t>相対日数</t>
  </si>
  <si>
    <t>-</t>
    <phoneticPr fontId="2"/>
  </si>
  <si>
    <t>■特記事項</t>
    <rPh sb="1" eb="5">
      <t>トッキジコウ</t>
    </rPh>
    <phoneticPr fontId="2"/>
  </si>
  <si>
    <t>・1時間当たりの生産数（不良数）の考え方について</t>
    <rPh sb="2" eb="5">
      <t>ジカンア</t>
    </rPh>
    <rPh sb="8" eb="11">
      <t>セイサンスウ</t>
    </rPh>
    <rPh sb="12" eb="15">
      <t>フリョウスウ</t>
    </rPh>
    <rPh sb="17" eb="18">
      <t>カンガ</t>
    </rPh>
    <rPh sb="19" eb="20">
      <t>カタ</t>
    </rPh>
    <phoneticPr fontId="2"/>
  </si>
  <si>
    <t>■レポートの用途</t>
    <rPh sb="6" eb="8">
      <t>ヨウト</t>
    </rPh>
    <phoneticPr fontId="2"/>
  </si>
  <si>
    <t>ラインごとの稼働状況や生産数を確認するためのレポート</t>
    <rPh sb="6" eb="10">
      <t>カドウジョウキョウ</t>
    </rPh>
    <rPh sb="11" eb="13">
      <t>セイサン</t>
    </rPh>
    <rPh sb="13" eb="14">
      <t>スウ</t>
    </rPh>
    <rPh sb="15" eb="17">
      <t>カクニン</t>
    </rPh>
    <phoneticPr fontId="2"/>
  </si>
  <si>
    <t>最終データ更新日時</t>
    <rPh sb="0" eb="2">
      <t>サイシュウ</t>
    </rPh>
    <rPh sb="5" eb="8">
      <t>コウシンビ</t>
    </rPh>
    <phoneticPr fontId="2"/>
  </si>
  <si>
    <t>最後に連携されたログの日時を表示</t>
    <rPh sb="0" eb="2">
      <t>サイゴ</t>
    </rPh>
    <rPh sb="3" eb="5">
      <t>レンケイ</t>
    </rPh>
    <rPh sb="11" eb="13">
      <t>ニチジ</t>
    </rPh>
    <rPh sb="14" eb="16">
      <t>ヒョウジ</t>
    </rPh>
    <phoneticPr fontId="2"/>
  </si>
  <si>
    <t>■画面一覧</t>
    <rPh sb="1" eb="5">
      <t>ガメンイチラン</t>
    </rPh>
    <phoneticPr fontId="2"/>
  </si>
  <si>
    <t>■画面説明</t>
    <rPh sb="1" eb="5">
      <t>ガメンセツメイ</t>
    </rPh>
    <phoneticPr fontId="2"/>
  </si>
  <si>
    <t>例</t>
    <rPh sb="0" eb="1">
      <t>レイ</t>
    </rPh>
    <phoneticPr fontId="2"/>
  </si>
  <si>
    <t>営業日</t>
    <rPh sb="0" eb="3">
      <t>エイギョウビ</t>
    </rPh>
    <phoneticPr fontId="2"/>
  </si>
  <si>
    <t>日時</t>
    <rPh sb="0" eb="2">
      <t>ニチジ</t>
    </rPh>
    <phoneticPr fontId="2"/>
  </si>
  <si>
    <t>・営業日と日時の考え方について</t>
    <rPh sb="1" eb="4">
      <t>エイギョウビ</t>
    </rPh>
    <rPh sb="5" eb="7">
      <t>ニチジ</t>
    </rPh>
    <rPh sb="8" eb="9">
      <t>カンガ</t>
    </rPh>
    <rPh sb="10" eb="11">
      <t>カタ</t>
    </rPh>
    <phoneticPr fontId="2"/>
  </si>
  <si>
    <t>-</t>
    <phoneticPr fontId="2"/>
  </si>
  <si>
    <t>１．08:00:01~翌日08:00:00までを同一営業日として考える</t>
    <rPh sb="11" eb="13">
      <t>ヨクジツ</t>
    </rPh>
    <rPh sb="24" eb="26">
      <t>ドウイツ</t>
    </rPh>
    <rPh sb="26" eb="29">
      <t>エイギョウビ</t>
    </rPh>
    <rPh sb="32" eb="33">
      <t>カンガ</t>
    </rPh>
    <phoneticPr fontId="2"/>
  </si>
  <si>
    <t>２．日時は09:00:00を開始時間とする(08:00:01は出力対象外)</t>
    <rPh sb="2" eb="4">
      <t>ニチジ</t>
    </rPh>
    <rPh sb="14" eb="16">
      <t>カイシ</t>
    </rPh>
    <rPh sb="16" eb="18">
      <t>ジカン</t>
    </rPh>
    <phoneticPr fontId="2"/>
  </si>
  <si>
    <t>Prod_logの生産数は営業日単位で、その時間までに生産された累計の生産数が出力される</t>
    <rPh sb="9" eb="12">
      <t>セイサンスウ</t>
    </rPh>
    <rPh sb="13" eb="18">
      <t>エイギョウビタンイ</t>
    </rPh>
    <rPh sb="22" eb="24">
      <t>ジカン</t>
    </rPh>
    <rPh sb="27" eb="29">
      <t>セイサン</t>
    </rPh>
    <rPh sb="32" eb="34">
      <t>ルイケイ</t>
    </rPh>
    <rPh sb="35" eb="38">
      <t>セイサンスウ</t>
    </rPh>
    <rPh sb="39" eb="41">
      <t>シュツリョク</t>
    </rPh>
    <phoneticPr fontId="2"/>
  </si>
  <si>
    <t>1時間当たりの生産数を求めるため、（生産数ー1時間前の生産数）で求める</t>
    <rPh sb="1" eb="4">
      <t>ジカンア</t>
    </rPh>
    <rPh sb="7" eb="10">
      <t>セイサンスウ</t>
    </rPh>
    <rPh sb="11" eb="12">
      <t>モト</t>
    </rPh>
    <rPh sb="18" eb="21">
      <t>セイサンスウ</t>
    </rPh>
    <rPh sb="23" eb="26">
      <t>ジカンマエ</t>
    </rPh>
    <rPh sb="27" eb="30">
      <t>セイサンスウ</t>
    </rPh>
    <rPh sb="32" eb="33">
      <t>モト</t>
    </rPh>
    <phoneticPr fontId="2"/>
  </si>
  <si>
    <t>DAX</t>
  </si>
  <si>
    <t>Row</t>
  </si>
  <si>
    <t>ステータス</t>
  </si>
  <si>
    <t>ラインNo_PF名</t>
  </si>
  <si>
    <t>YearNumber</t>
  </si>
  <si>
    <t>MonthNumber</t>
  </si>
  <si>
    <t>SWITCH(MonthNumber, 1, "Jan", 2, "Feb", 3, "Mar", 4, "Apr", 5, "May", 6, "Jun", 7, "Jul", 8, "Aug", 9, "Sep", 10, "Oct", 11, "Nov", 12, "Dec", "")</t>
  </si>
  <si>
    <t>FORMAT(BaseDate, "yyyymm")</t>
  </si>
  <si>
    <t>FORMAT(BaseDate, "yyyy年mm月")</t>
  </si>
  <si>
    <t>DateNumber</t>
  </si>
  <si>
    <t>FORMAT(BaseDate, "yyyymmdd")</t>
  </si>
  <si>
    <t>FORMAT(BaseDate, "yyyy/mm/dd")</t>
  </si>
  <si>
    <t>DayNumber</t>
  </si>
  <si>
    <t>SWITCH(DayNumber, 1, "日", 2, "月", 3, "火", 4, "水", 5, "木", 6, "金", 7, "土","")</t>
  </si>
  <si>
    <t>WEEKNUM(BaseDate, 1)</t>
  </si>
  <si>
    <t>SWITCH(DayNumber, 1, "休日", 2, "平日", 3, "平日", 4, "平日", 5, "平日", 6, "平日", 7, "休日","")</t>
  </si>
  <si>
    <t>DATEDIFF(TODAY(), BaseDate, MONTH)</t>
  </si>
  <si>
    <t>DATEDIFF(TODAY(), BaseDate, DAY)</t>
  </si>
  <si>
    <t>Stop_log</t>
  </si>
  <si>
    <t>date = DATEVALUE('Stop_log'[datetime])</t>
  </si>
  <si>
    <t>秒考慮が必要な為Prod_logとは違う計算式</t>
    <rPh sb="0" eb="1">
      <t>ビョウ</t>
    </rPh>
    <rPh sb="1" eb="3">
      <t>コウリョ</t>
    </rPh>
    <rPh sb="4" eb="6">
      <t>ヒツヨウ</t>
    </rPh>
    <rPh sb="7" eb="8">
      <t>タメ</t>
    </rPh>
    <rPh sb="18" eb="19">
      <t>チガ</t>
    </rPh>
    <rPh sb="20" eb="23">
      <t>ケイサンシキ</t>
    </rPh>
    <phoneticPr fontId="2"/>
  </si>
  <si>
    <t>Prod_log</t>
  </si>
  <si>
    <t>月</t>
    <rPh sb="0" eb="1">
      <t>ツキ</t>
    </rPh>
    <phoneticPr fontId="2"/>
  </si>
  <si>
    <t>日</t>
    <rPh sb="0" eb="1">
      <t>ヒ</t>
    </rPh>
    <phoneticPr fontId="2"/>
  </si>
  <si>
    <t>全ライン_稼働状況</t>
    <phoneticPr fontId="2"/>
  </si>
  <si>
    <t>全ライン_生産数/計画数</t>
  </si>
  <si>
    <t>ライン毎_稼働詳細</t>
  </si>
  <si>
    <t>DAX、メジャー</t>
    <phoneticPr fontId="2"/>
  </si>
  <si>
    <t>M03</t>
    <phoneticPr fontId="2"/>
  </si>
  <si>
    <t>mst_手配先</t>
  </si>
  <si>
    <t>mst_手配先</t>
    <rPh sb="4" eb="6">
      <t>テハイ</t>
    </rPh>
    <rPh sb="6" eb="7">
      <t>サキ</t>
    </rPh>
    <phoneticPr fontId="2"/>
  </si>
  <si>
    <t>手配先マスタ</t>
    <rPh sb="0" eb="3">
      <t>テハイサキ</t>
    </rPh>
    <phoneticPr fontId="2"/>
  </si>
  <si>
    <t>手配先コード</t>
    <rPh sb="0" eb="3">
      <t>テハイサキ</t>
    </rPh>
    <phoneticPr fontId="2"/>
  </si>
  <si>
    <t>手配先名</t>
  </si>
  <si>
    <t>手配先名</t>
    <rPh sb="0" eb="4">
      <t>テハイサキメイ</t>
    </rPh>
    <phoneticPr fontId="2"/>
  </si>
  <si>
    <t>遷移終了日時 = 
CALCULATE(
    MIN('STOP_LOG'[datetime]),
    FILTER(
        ALL('STOP_LOG'),
        'STOP_LOG'[Nコード] = EARLIER('STOP_LOG'[Nコード]) 
        &amp;&amp; 'STOP_LOG'[Row] = EARLIER('STOP_LOG'[Row])+1
    )
)</t>
    <phoneticPr fontId="2"/>
  </si>
  <si>
    <t>ステータス = 
IF('STOP_LOG'[稼働ステータス] = 0,"0:開始待ち",
IF('STOP_LOG'[稼働ステータス] = 1,"1:開始",
IF('STOP_LOG'[稼働ステータス] = 2,"2:停止",
IF('STOP_LOG'[稼働ステータス] = 3,"3:再開","4:終了"))))</t>
    <phoneticPr fontId="2"/>
  </si>
  <si>
    <t>稼働ステータス</t>
    <phoneticPr fontId="2"/>
  </si>
  <si>
    <t>Row = 
RANKX(
    FILTER(
        ALL('STOP_LOG'),
        'STOP_LOG'[Nコード] = EARLIER('STOP_LOG'[Nコード])
    ), 
    'STOP_LOG'[datetime], 
    , 
    ASC, 
    Dense
)</t>
    <phoneticPr fontId="2"/>
  </si>
  <si>
    <t>営業日 = 
VAR TotalSecondsOfDay = HOUR('STOP_LOG'[datetime]) * 3600 + MINUTE('STOP_LOG'[datetime]) * 60 + SECOND('STOP_LOG'[datetime])
RETURN
IF (
    TotalSecondsOfDay &gt;= 28801,  // 8 hours, 0 minute, 1 second
    DATEVALUE('STOP_LOG'[datetime]),
    DATEVALUE('STOP_LOG'[datetime]) - 1
)</t>
    <phoneticPr fontId="2"/>
  </si>
  <si>
    <t>ラインNo_PF名 = 'STOP_LOG'[ラインNo] &amp; "_" &amp; RELATED('mst_ラインNo'[PF名])</t>
    <phoneticPr fontId="2"/>
  </si>
  <si>
    <t>手配先コード</t>
    <rPh sb="0" eb="3">
      <t>テハイサキ</t>
    </rPh>
    <phoneticPr fontId="2"/>
  </si>
  <si>
    <t>手配先名</t>
    <rPh sb="0" eb="4">
      <t>テハイサキメイ</t>
    </rPh>
    <phoneticPr fontId="2"/>
  </si>
  <si>
    <t>mst_ラインNo.製品形</t>
  </si>
  <si>
    <t>月 = RELATED('Calendar'[月])</t>
    <phoneticPr fontId="2"/>
  </si>
  <si>
    <t>製品形</t>
    <phoneticPr fontId="2"/>
  </si>
  <si>
    <t>mst_ラインNo</t>
    <phoneticPr fontId="2"/>
  </si>
  <si>
    <t>日 = RELATED('Calendar'[日])</t>
    <phoneticPr fontId="2"/>
  </si>
  <si>
    <t>生産ステータス</t>
    <phoneticPr fontId="2"/>
  </si>
  <si>
    <t>投入数</t>
  </si>
  <si>
    <t>生産数</t>
  </si>
  <si>
    <t>梱包数</t>
  </si>
  <si>
    <t>現在計画数</t>
  </si>
  <si>
    <t>進捗率</t>
  </si>
  <si>
    <t>計画数</t>
  </si>
  <si>
    <t>計画マシンタクト</t>
  </si>
  <si>
    <t>平均タクト</t>
  </si>
  <si>
    <t>不良数</t>
  </si>
  <si>
    <t>不良率ppm</t>
  </si>
  <si>
    <t>手配先名 = RELATED('mst_手配先'[手配先名])</t>
    <phoneticPr fontId="2"/>
  </si>
  <si>
    <t>年/月/日</t>
    <phoneticPr fontId="2"/>
  </si>
  <si>
    <t>年/月/日 = RELATED('Calendar'[年/月/日].[Date])</t>
    <phoneticPr fontId="2"/>
  </si>
  <si>
    <t>1時間ごとの生産数 = 
IF('PLOD_LOG'[生産数] = 0,0,
    'PLOD_LOG'[生産数]
    -
    CALCULATE(
        MIN('PLOD_LOG'[生産数]),
        FILTER(
            ALL('PLOD_LOG'),
            'PLOD_LOG'[Nコード] = EARLIER('PLOD_LOG'[Nコード]) 
            &amp;&amp; 'PLOD_LOG'[Row] = EARLIER('PLOD_LOG'[Row])-1
        )
    )
)</t>
    <phoneticPr fontId="2"/>
  </si>
  <si>
    <t>1時間ごとの不良数 = 
IF('PLOD_LOG'[不良数] = 0,0,
    'PLOD_LOG'[不良数]
    -
    CALCULATE(
        MIN('PLOD_LOG'[不良数]),
        FILTER(
            ALL('PLOD_LOG'),
            'PLOD_LOG'[Nコード] = EARLIER('PLOD_LOG'[Nコード]) 
            &amp;&amp; 'PLOD_LOG'[Row] = EARLIER('PLOD_LOG'[Row])-1
        )
    )
)</t>
    <phoneticPr fontId="2"/>
  </si>
  <si>
    <t>Row = 
RANKX(
    FILTER(
        ALL('PLOD_LOG'),
        'PLOD_LOG'[Nコード] = EARLIER('PLOD_LOG'[Nコード])
    ), 
    'PLOD_LOG'[datetime], 
    , 
    ASC, 
    Dense
)</t>
    <phoneticPr fontId="2"/>
  </si>
  <si>
    <t>Datetime-1hour = 'PLOD_LOG'[datetime] - 1/24</t>
    <phoneticPr fontId="2"/>
  </si>
  <si>
    <t>date = DATEVALUE('PLOD_LOG'[datetime])</t>
    <phoneticPr fontId="2"/>
  </si>
  <si>
    <t>営業日 = 
VAR TotalSecondsOfDay = HOUR('PLOD_LOG'[Datetime-1hour]) * 3600 + MINUTE('PLOD_LOG'[Datetime-1hour]) * 60 + SECOND('PLOD_LOG'[Datetime-1hour])
RETURN
IF (
    TotalSecondsOfDay &gt;= 28800,  // 8 hours, 0 minute, 1 second
    DATEVALUE('PLOD_LOG'[Datetime-1hour]),
    DATEVALUE('PLOD_LOG'[Datetime-1hour]) - 1
)</t>
    <phoneticPr fontId="2"/>
  </si>
  <si>
    <t>月</t>
    <rPh sb="0" eb="1">
      <t>ツキ</t>
    </rPh>
    <phoneticPr fontId="8"/>
  </si>
  <si>
    <t>日</t>
    <rPh sb="0" eb="1">
      <t>ヒ</t>
    </rPh>
    <phoneticPr fontId="8"/>
  </si>
  <si>
    <t>Datetime-1hour</t>
  </si>
  <si>
    <t>1時間ごとの生産数</t>
  </si>
  <si>
    <t>1時間ごとの不良数</t>
  </si>
  <si>
    <t>全社用_稼働データの説明</t>
    <rPh sb="0" eb="2">
      <t>ゼンシャ</t>
    </rPh>
    <rPh sb="2" eb="3">
      <t>ヨウ</t>
    </rPh>
    <rPh sb="4" eb="6">
      <t>カドウ</t>
    </rPh>
    <rPh sb="10" eb="12">
      <t>セツメイ</t>
    </rPh>
    <phoneticPr fontId="2"/>
  </si>
  <si>
    <t>全ライン_稼働状況</t>
  </si>
  <si>
    <t>手配先名</t>
    <rPh sb="0" eb="3">
      <t>テハイサキ</t>
    </rPh>
    <rPh sb="3" eb="4">
      <t>メイ</t>
    </rPh>
    <phoneticPr fontId="2"/>
  </si>
  <si>
    <t>選択した月で稼働状況を抽出可能</t>
    <rPh sb="0" eb="2">
      <t>センタク</t>
    </rPh>
    <rPh sb="4" eb="5">
      <t>ツキ</t>
    </rPh>
    <rPh sb="6" eb="8">
      <t>カドウ</t>
    </rPh>
    <rPh sb="8" eb="10">
      <t>ジョウキョウ</t>
    </rPh>
    <rPh sb="11" eb="15">
      <t>チュウシュツカノウ</t>
    </rPh>
    <phoneticPr fontId="2"/>
  </si>
  <si>
    <t>選択した日で稼働状況を抽出可能</t>
    <rPh sb="0" eb="2">
      <t>センタク</t>
    </rPh>
    <rPh sb="4" eb="5">
      <t>ヒ</t>
    </rPh>
    <rPh sb="6" eb="8">
      <t>カドウ</t>
    </rPh>
    <rPh sb="8" eb="10">
      <t>ジョウキョウ</t>
    </rPh>
    <rPh sb="11" eb="13">
      <t>チュウシュツ</t>
    </rPh>
    <rPh sb="13" eb="15">
      <t>カノウ</t>
    </rPh>
    <phoneticPr fontId="2"/>
  </si>
  <si>
    <t>選択した手配先で稼働状況を抽出可能</t>
    <rPh sb="0" eb="2">
      <t>センタク</t>
    </rPh>
    <rPh sb="4" eb="7">
      <t>テハイサキ</t>
    </rPh>
    <rPh sb="8" eb="10">
      <t>カドウ</t>
    </rPh>
    <rPh sb="10" eb="12">
      <t>ジョウキョウ</t>
    </rPh>
    <rPh sb="13" eb="15">
      <t>チュウシュツ</t>
    </rPh>
    <rPh sb="15" eb="17">
      <t>カノウ</t>
    </rPh>
    <phoneticPr fontId="2"/>
  </si>
  <si>
    <t>選択した年/月/日で生産数/計画数を抽出可能（単一選択）</t>
    <rPh sb="0" eb="2">
      <t>センタク</t>
    </rPh>
    <rPh sb="4" eb="5">
      <t>トシ</t>
    </rPh>
    <rPh sb="6" eb="7">
      <t>ツキ</t>
    </rPh>
    <rPh sb="8" eb="9">
      <t>ヒ</t>
    </rPh>
    <rPh sb="10" eb="13">
      <t>セイサンスウ</t>
    </rPh>
    <rPh sb="14" eb="17">
      <t>ケイカクスウ</t>
    </rPh>
    <rPh sb="18" eb="22">
      <t>チュウシュツカノウ</t>
    </rPh>
    <rPh sb="23" eb="27">
      <t>タンイツセンタク</t>
    </rPh>
    <phoneticPr fontId="2"/>
  </si>
  <si>
    <t>選択した手配先で生産数/計画数を抽出可能</t>
    <rPh sb="0" eb="2">
      <t>センタク</t>
    </rPh>
    <rPh sb="4" eb="7">
      <t>テハイサキ</t>
    </rPh>
    <rPh sb="8" eb="11">
      <t>セイサンスウ</t>
    </rPh>
    <rPh sb="12" eb="15">
      <t>ケイカクスウ</t>
    </rPh>
    <rPh sb="16" eb="20">
      <t>チュウシュツカノウ</t>
    </rPh>
    <phoneticPr fontId="2"/>
  </si>
  <si>
    <t>生産数/計画数</t>
    <rPh sb="0" eb="3">
      <t>セイサンスウ</t>
    </rPh>
    <rPh sb="4" eb="6">
      <t>ケイカク</t>
    </rPh>
    <rPh sb="6" eb="7">
      <t>スウ</t>
    </rPh>
    <phoneticPr fontId="2"/>
  </si>
  <si>
    <t>選択した年/月/日の生産数を表示</t>
    <rPh sb="0" eb="2">
      <t>センタク</t>
    </rPh>
    <rPh sb="4" eb="5">
      <t>トシ</t>
    </rPh>
    <rPh sb="6" eb="7">
      <t>ツキ</t>
    </rPh>
    <rPh sb="8" eb="9">
      <t>ヒ</t>
    </rPh>
    <rPh sb="10" eb="13">
      <t>セイサンスウ</t>
    </rPh>
    <rPh sb="14" eb="16">
      <t>ヒョウジ</t>
    </rPh>
    <phoneticPr fontId="2"/>
  </si>
  <si>
    <t>手配先</t>
    <rPh sb="0" eb="3">
      <t>テハイサキ</t>
    </rPh>
    <phoneticPr fontId="2"/>
  </si>
  <si>
    <t>選択した月で⑥～⑩のオブジェクトを抽出可能</t>
    <rPh sb="0" eb="2">
      <t>センタク</t>
    </rPh>
    <rPh sb="4" eb="5">
      <t>ツキ</t>
    </rPh>
    <rPh sb="17" eb="21">
      <t>チュウシュツカノウ</t>
    </rPh>
    <phoneticPr fontId="2"/>
  </si>
  <si>
    <t>選択した日で⑥～⑩のオブジェクトを抽出可能</t>
    <rPh sb="0" eb="2">
      <t>センタク</t>
    </rPh>
    <rPh sb="4" eb="5">
      <t>ヒ</t>
    </rPh>
    <rPh sb="17" eb="21">
      <t>チュウシュツカノウ</t>
    </rPh>
    <phoneticPr fontId="2"/>
  </si>
  <si>
    <t>選択した手配先で⑥～⑩のオブジェクトを抽出可能（単一選択）</t>
    <rPh sb="0" eb="2">
      <t>センタク</t>
    </rPh>
    <rPh sb="4" eb="7">
      <t>テハイサキ</t>
    </rPh>
    <rPh sb="19" eb="23">
      <t>チュウシュツカノウ</t>
    </rPh>
    <rPh sb="24" eb="28">
      <t>タンイツセンタク</t>
    </rPh>
    <phoneticPr fontId="2"/>
  </si>
  <si>
    <t>選択したラインNoで⑥～⑩のオブジェクトを抽出可能（単一選択）</t>
    <rPh sb="0" eb="2">
      <t>センタク</t>
    </rPh>
    <rPh sb="21" eb="25">
      <t>チュウシュツカノウ</t>
    </rPh>
    <rPh sb="26" eb="30">
      <t>タンイツセンタク</t>
    </rPh>
    <phoneticPr fontId="2"/>
  </si>
  <si>
    <t>設備稼働状況</t>
    <rPh sb="0" eb="6">
      <t>セツビカドウジョウキョウ</t>
    </rPh>
    <phoneticPr fontId="2"/>
  </si>
  <si>
    <t>1時間ごとの生産進捗</t>
    <rPh sb="1" eb="3">
      <t>ジカン</t>
    </rPh>
    <rPh sb="6" eb="10">
      <t>セイサンシンチョク</t>
    </rPh>
    <phoneticPr fontId="2"/>
  </si>
  <si>
    <t>稼働/停止要因</t>
    <rPh sb="0" eb="2">
      <t>カドウ</t>
    </rPh>
    <rPh sb="3" eb="7">
      <t>テイシヨウイン</t>
    </rPh>
    <phoneticPr fontId="2"/>
  </si>
  <si>
    <t>選択した手配先、ラインNoの設備稼働状況を出力</t>
    <rPh sb="0" eb="2">
      <t>センタク</t>
    </rPh>
    <rPh sb="4" eb="7">
      <t>テハイサキ</t>
    </rPh>
    <rPh sb="14" eb="20">
      <t>セツビカドウジョウキョウ</t>
    </rPh>
    <rPh sb="21" eb="23">
      <t>シュツリョク</t>
    </rPh>
    <phoneticPr fontId="2"/>
  </si>
  <si>
    <t>選択した手配先、ラインNoの１時間ごとの生産数を出力</t>
    <rPh sb="0" eb="2">
      <t>センタク</t>
    </rPh>
    <rPh sb="4" eb="7">
      <t>テハイサキ</t>
    </rPh>
    <rPh sb="15" eb="17">
      <t>ジカン</t>
    </rPh>
    <rPh sb="20" eb="23">
      <t>セイサンスウ</t>
    </rPh>
    <rPh sb="24" eb="26">
      <t>シュツリョク</t>
    </rPh>
    <phoneticPr fontId="2"/>
  </si>
  <si>
    <t>選択した手配先、ラインNoの１時間ごとの不良数を出力</t>
    <rPh sb="0" eb="2">
      <t>センタク</t>
    </rPh>
    <rPh sb="4" eb="7">
      <t>テハイサキ</t>
    </rPh>
    <rPh sb="15" eb="17">
      <t>ジカン</t>
    </rPh>
    <rPh sb="20" eb="22">
      <t>フリョウ</t>
    </rPh>
    <rPh sb="22" eb="23">
      <t>スウ</t>
    </rPh>
    <rPh sb="24" eb="26">
      <t>シュツリョク</t>
    </rPh>
    <phoneticPr fontId="2"/>
  </si>
  <si>
    <t>選択した手配先、ラインNoの１時間ごとの生産進捗を出力</t>
    <rPh sb="0" eb="2">
      <t>センタク</t>
    </rPh>
    <rPh sb="4" eb="7">
      <t>テハイサキ</t>
    </rPh>
    <rPh sb="15" eb="17">
      <t>ジカン</t>
    </rPh>
    <rPh sb="20" eb="24">
      <t>セイサンシンチョク</t>
    </rPh>
    <rPh sb="25" eb="27">
      <t>シュツリョク</t>
    </rPh>
    <phoneticPr fontId="2"/>
  </si>
  <si>
    <t>選択した手配先、ラインNoの稼働/停止要因の割合を出力</t>
    <rPh sb="0" eb="2">
      <t>センタク</t>
    </rPh>
    <rPh sb="4" eb="7">
      <t>テハイサキ</t>
    </rPh>
    <rPh sb="14" eb="16">
      <t>カドウ</t>
    </rPh>
    <rPh sb="17" eb="19">
      <t>テイシ</t>
    </rPh>
    <rPh sb="19" eb="21">
      <t>ヨウイン</t>
    </rPh>
    <rPh sb="22" eb="24">
      <t>ワリアイ</t>
    </rPh>
    <rPh sb="25" eb="27">
      <t>シュツリョク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</si>
</sst>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\ h:mm:ss"/>
    <numFmt numFmtId="177" formatCode="#,##0_);[Red]\(#,##0\)"/>
  </numFmts>
  <fonts count="9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theme="0"/>
      <name val="Meiryo UI"/>
      <family val="3"/>
      <charset val="128"/>
    </font>
    <font>
      <sz val="11"/>
      <name val="Meiryo UI"/>
      <family val="3"/>
      <charset val="128"/>
    </font>
    <font>
      <sz val="16"/>
      <color theme="1"/>
      <name val="Meiryo UI"/>
      <family val="3"/>
      <charset val="128"/>
    </font>
    <font>
      <sz val="11"/>
      <color rgb="FFFF0000"/>
      <name val="Yu Gothic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4" xfId="0" applyFont="1" applyFill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5" borderId="5" xfId="0" applyFont="1" applyFill="1" applyBorder="1"/>
    <xf numFmtId="0" fontId="3" fillId="5" borderId="6" xfId="0" applyFont="1" applyFill="1" applyBorder="1"/>
    <xf numFmtId="0" fontId="3" fillId="5" borderId="7" xfId="0" applyFont="1" applyFill="1" applyBorder="1"/>
    <xf numFmtId="0" fontId="3" fillId="2" borderId="3" xfId="0" applyFont="1" applyFill="1" applyBorder="1"/>
    <xf numFmtId="0" fontId="3" fillId="0" borderId="3" xfId="0" applyFont="1" applyBorder="1"/>
    <xf numFmtId="0" fontId="3" fillId="3" borderId="3" xfId="0" applyFont="1" applyFill="1" applyBorder="1"/>
    <xf numFmtId="0" fontId="3" fillId="0" borderId="0" xfId="0" applyFont="1" applyAlignment="1">
      <alignment horizontal="left" vertical="top"/>
    </xf>
    <xf numFmtId="0" fontId="5" fillId="0" borderId="0" xfId="0" applyFont="1"/>
    <xf numFmtId="0" fontId="3" fillId="3" borderId="1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3" fillId="3" borderId="4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3" fillId="0" borderId="1" xfId="0" quotePrefix="1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1" xfId="0" quotePrefix="1" applyFont="1" applyBorder="1" applyAlignment="1">
      <alignment horizontal="left" vertical="top" wrapText="1"/>
    </xf>
    <xf numFmtId="0" fontId="6" fillId="0" borderId="3" xfId="0" applyFont="1" applyBorder="1" applyAlignment="1">
      <alignment vertical="center" shrinkToFit="1"/>
    </xf>
    <xf numFmtId="0" fontId="6" fillId="0" borderId="0" xfId="0" applyFont="1"/>
    <xf numFmtId="0" fontId="6" fillId="0" borderId="1" xfId="0" quotePrefix="1" applyFont="1" applyBorder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7" fillId="0" borderId="0" xfId="0" applyFont="1"/>
    <xf numFmtId="0" fontId="3" fillId="0" borderId="13" xfId="0" applyFont="1" applyBorder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4" xfId="0" applyFont="1" applyFill="1" applyBorder="1"/>
    <xf numFmtId="0" fontId="3" fillId="3" borderId="2" xfId="0" applyFont="1" applyFill="1" applyBorder="1" applyAlignment="1">
      <alignment horizontal="centerContinuous"/>
    </xf>
    <xf numFmtId="0" fontId="3" fillId="3" borderId="4" xfId="0" applyFont="1" applyFill="1" applyBorder="1" applyAlignment="1">
      <alignment horizontal="centerContinuous"/>
    </xf>
    <xf numFmtId="176" fontId="3" fillId="0" borderId="1" xfId="0" applyNumberFormat="1" applyFont="1" applyBorder="1" applyAlignment="1">
      <alignment horizontal="centerContinuous"/>
    </xf>
    <xf numFmtId="176" fontId="3" fillId="0" borderId="2" xfId="0" applyNumberFormat="1" applyFont="1" applyBorder="1" applyAlignment="1">
      <alignment horizontal="centerContinuous"/>
    </xf>
    <xf numFmtId="176" fontId="3" fillId="0" borderId="4" xfId="0" applyNumberFormat="1" applyFont="1" applyBorder="1" applyAlignment="1">
      <alignment horizontal="centerContinuous"/>
    </xf>
    <xf numFmtId="14" fontId="3" fillId="0" borderId="1" xfId="0" applyNumberFormat="1" applyFont="1" applyBorder="1" applyAlignment="1">
      <alignment horizontal="centerContinuous"/>
    </xf>
    <xf numFmtId="176" fontId="3" fillId="0" borderId="0" xfId="0" applyNumberFormat="1" applyFont="1" applyAlignment="1">
      <alignment horizontal="centerContinuous"/>
    </xf>
    <xf numFmtId="14" fontId="3" fillId="0" borderId="0" xfId="0" applyNumberFormat="1" applyFont="1" applyAlignment="1">
      <alignment horizontal="centerContinuous"/>
    </xf>
    <xf numFmtId="177" fontId="3" fillId="3" borderId="1" xfId="0" applyNumberFormat="1" applyFont="1" applyFill="1" applyBorder="1"/>
    <xf numFmtId="177" fontId="3" fillId="0" borderId="1" xfId="0" applyNumberFormat="1" applyFont="1" applyBorder="1" applyAlignment="1">
      <alignment horizontal="centerContinuous"/>
    </xf>
    <xf numFmtId="177" fontId="3" fillId="6" borderId="1" xfId="0" applyNumberFormat="1" applyFont="1" applyFill="1" applyBorder="1" applyAlignment="1">
      <alignment horizontal="centerContinuous"/>
    </xf>
    <xf numFmtId="176" fontId="3" fillId="4" borderId="1" xfId="0" applyNumberFormat="1" applyFont="1" applyFill="1" applyBorder="1" applyAlignment="1">
      <alignment horizontal="centerContinuous"/>
    </xf>
    <xf numFmtId="176" fontId="3" fillId="4" borderId="2" xfId="0" applyNumberFormat="1" applyFont="1" applyFill="1" applyBorder="1" applyAlignment="1">
      <alignment horizontal="centerContinuous"/>
    </xf>
    <xf numFmtId="176" fontId="3" fillId="4" borderId="4" xfId="0" applyNumberFormat="1" applyFont="1" applyFill="1" applyBorder="1" applyAlignment="1">
      <alignment horizontal="centerContinuous"/>
    </xf>
    <xf numFmtId="177" fontId="3" fillId="4" borderId="1" xfId="0" applyNumberFormat="1" applyFont="1" applyFill="1" applyBorder="1" applyAlignment="1">
      <alignment horizontal="centerContinuous"/>
    </xf>
    <xf numFmtId="176" fontId="3" fillId="6" borderId="2" xfId="0" applyNumberFormat="1" applyFont="1" applyFill="1" applyBorder="1" applyAlignment="1">
      <alignment horizontal="centerContinuous"/>
    </xf>
    <xf numFmtId="176" fontId="3" fillId="6" borderId="4" xfId="0" applyNumberFormat="1" applyFont="1" applyFill="1" applyBorder="1" applyAlignment="1">
      <alignment horizontal="centerContinuous"/>
    </xf>
    <xf numFmtId="14" fontId="3" fillId="6" borderId="1" xfId="0" applyNumberFormat="1" applyFont="1" applyFill="1" applyBorder="1" applyAlignment="1">
      <alignment horizontal="centerContinuous"/>
    </xf>
    <xf numFmtId="176" fontId="3" fillId="7" borderId="1" xfId="0" applyNumberFormat="1" applyFont="1" applyFill="1" applyBorder="1" applyAlignment="1">
      <alignment horizontal="centerContinuous"/>
    </xf>
    <xf numFmtId="176" fontId="3" fillId="7" borderId="2" xfId="0" applyNumberFormat="1" applyFont="1" applyFill="1" applyBorder="1" applyAlignment="1">
      <alignment horizontal="centerContinuous"/>
    </xf>
    <xf numFmtId="176" fontId="3" fillId="7" borderId="4" xfId="0" applyNumberFormat="1" applyFont="1" applyFill="1" applyBorder="1" applyAlignment="1">
      <alignment horizontal="centerContinuous"/>
    </xf>
    <xf numFmtId="177" fontId="3" fillId="0" borderId="0" xfId="0" applyNumberFormat="1" applyFont="1" applyAlignment="1">
      <alignment horizontal="centerContinuous"/>
    </xf>
    <xf numFmtId="0" fontId="3" fillId="0" borderId="5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microsoft.com/office/2007/relationships/hdphoto" Target="../media/hdphoto1.wdp"/><Relationship Id="rId7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7.png"/><Relationship Id="rId5" Type="http://schemas.microsoft.com/office/2007/relationships/hdphoto" Target="../media/hdphoto2.wdp"/><Relationship Id="rId4" Type="http://schemas.openxmlformats.org/officeDocument/2006/relationships/image" Target="../media/image6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42</xdr:row>
      <xdr:rowOff>0</xdr:rowOff>
    </xdr:from>
    <xdr:to>
      <xdr:col>31</xdr:col>
      <xdr:colOff>172500</xdr:colOff>
      <xdr:row>62</xdr:row>
      <xdr:rowOff>56896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468CC4F4-AFA0-0E67-2BAB-09F14D857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6" y="8089447"/>
          <a:ext cx="6840000" cy="3866896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31</xdr:col>
      <xdr:colOff>172500</xdr:colOff>
      <xdr:row>33</xdr:row>
      <xdr:rowOff>113770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6891605F-D708-F7BE-BC87-37F2047A4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76" y="2564947"/>
          <a:ext cx="6840000" cy="392377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18</xdr:col>
      <xdr:colOff>180975</xdr:colOff>
      <xdr:row>11</xdr:row>
      <xdr:rowOff>85725</xdr:rowOff>
    </xdr:from>
    <xdr:to>
      <xdr:col>25</xdr:col>
      <xdr:colOff>80963</xdr:colOff>
      <xdr:row>13</xdr:row>
      <xdr:rowOff>52387</xdr:rowOff>
    </xdr:to>
    <xdr:sp macro="" textlink="">
      <xdr:nvSpPr>
        <xdr:cNvPr id="13" name="吹き出し: 四角形 12">
          <a:extLst>
            <a:ext uri="{FF2B5EF4-FFF2-40B4-BE49-F238E27FC236}">
              <a16:creationId xmlns:a16="http://schemas.microsoft.com/office/drawing/2014/main" id="{FBACD1F8-CD49-A3B1-6F8B-518284152FEE}"/>
            </a:ext>
          </a:extLst>
        </xdr:cNvPr>
        <xdr:cNvSpPr/>
      </xdr:nvSpPr>
      <xdr:spPr>
        <a:xfrm>
          <a:off x="4229100" y="6081713"/>
          <a:ext cx="1566863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①最終データ更新日時</a:t>
          </a:r>
        </a:p>
      </xdr:txBody>
    </xdr:sp>
    <xdr:clientData/>
  </xdr:twoCellAnchor>
  <xdr:twoCellAnchor>
    <xdr:from>
      <xdr:col>18</xdr:col>
      <xdr:colOff>180975</xdr:colOff>
      <xdr:row>40</xdr:row>
      <xdr:rowOff>85725</xdr:rowOff>
    </xdr:from>
    <xdr:to>
      <xdr:col>25</xdr:col>
      <xdr:colOff>80963</xdr:colOff>
      <xdr:row>42</xdr:row>
      <xdr:rowOff>52387</xdr:rowOff>
    </xdr:to>
    <xdr:sp macro="" textlink="">
      <xdr:nvSpPr>
        <xdr:cNvPr id="19" name="吹き出し: 四角形 18">
          <a:extLst>
            <a:ext uri="{FF2B5EF4-FFF2-40B4-BE49-F238E27FC236}">
              <a16:creationId xmlns:a16="http://schemas.microsoft.com/office/drawing/2014/main" id="{35B87F8A-17FF-4EA7-A185-32F86E4066AE}"/>
            </a:ext>
          </a:extLst>
        </xdr:cNvPr>
        <xdr:cNvSpPr/>
      </xdr:nvSpPr>
      <xdr:spPr>
        <a:xfrm>
          <a:off x="4467225" y="6081713"/>
          <a:ext cx="1566863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①最終データ更新日時</a:t>
          </a:r>
        </a:p>
      </xdr:txBody>
    </xdr:sp>
    <xdr:clientData/>
  </xdr:twoCellAnchor>
  <xdr:twoCellAnchor>
    <xdr:from>
      <xdr:col>27</xdr:col>
      <xdr:colOff>14287</xdr:colOff>
      <xdr:row>48</xdr:row>
      <xdr:rowOff>24493</xdr:rowOff>
    </xdr:from>
    <xdr:to>
      <xdr:col>32</xdr:col>
      <xdr:colOff>149678</xdr:colOff>
      <xdr:row>49</xdr:row>
      <xdr:rowOff>181655</xdr:rowOff>
    </xdr:to>
    <xdr:sp macro="" textlink="">
      <xdr:nvSpPr>
        <xdr:cNvPr id="22" name="吹き出し: 四角形 21">
          <a:extLst>
            <a:ext uri="{FF2B5EF4-FFF2-40B4-BE49-F238E27FC236}">
              <a16:creationId xmlns:a16="http://schemas.microsoft.com/office/drawing/2014/main" id="{CF1FCD2B-D28F-4897-B132-2B8ED25C9ED1}"/>
            </a:ext>
          </a:extLst>
        </xdr:cNvPr>
        <xdr:cNvSpPr/>
      </xdr:nvSpPr>
      <xdr:spPr>
        <a:xfrm>
          <a:off x="6443663" y="9256940"/>
          <a:ext cx="1326015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④生産数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計画数</a:t>
          </a:r>
        </a:p>
      </xdr:txBody>
    </xdr:sp>
    <xdr:clientData/>
  </xdr:twoCellAnchor>
  <xdr:twoCellAnchor>
    <xdr:from>
      <xdr:col>7</xdr:col>
      <xdr:colOff>64634</xdr:colOff>
      <xdr:row>45</xdr:row>
      <xdr:rowOff>51028</xdr:rowOff>
    </xdr:from>
    <xdr:to>
      <xdr:col>11</xdr:col>
      <xdr:colOff>88446</xdr:colOff>
      <xdr:row>47</xdr:row>
      <xdr:rowOff>17690</xdr:rowOff>
    </xdr:to>
    <xdr:sp macro="" textlink="">
      <xdr:nvSpPr>
        <xdr:cNvPr id="25" name="吹き出し: 四角形 24">
          <a:extLst>
            <a:ext uri="{FF2B5EF4-FFF2-40B4-BE49-F238E27FC236}">
              <a16:creationId xmlns:a16="http://schemas.microsoft.com/office/drawing/2014/main" id="{600AFE7D-4277-E337-6C13-529219B86AF0}"/>
            </a:ext>
          </a:extLst>
        </xdr:cNvPr>
        <xdr:cNvSpPr/>
      </xdr:nvSpPr>
      <xdr:spPr>
        <a:xfrm>
          <a:off x="1731510" y="8711975"/>
          <a:ext cx="976312" cy="347662"/>
        </a:xfrm>
        <a:prstGeom prst="wedgeRectCallout">
          <a:avLst>
            <a:gd name="adj1" fmla="val -61775"/>
            <a:gd name="adj2" fmla="val -73116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②年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月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日</a:t>
          </a:r>
        </a:p>
      </xdr:txBody>
    </xdr:sp>
    <xdr:clientData/>
  </xdr:twoCellAnchor>
  <xdr:twoCellAnchor>
    <xdr:from>
      <xdr:col>0</xdr:col>
      <xdr:colOff>148320</xdr:colOff>
      <xdr:row>14</xdr:row>
      <xdr:rowOff>158523</xdr:rowOff>
    </xdr:from>
    <xdr:to>
      <xdr:col>3</xdr:col>
      <xdr:colOff>6803</xdr:colOff>
      <xdr:row>16</xdr:row>
      <xdr:rowOff>125185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EEFB82C1-92AD-56A1-32C8-7A8CD13991E8}"/>
            </a:ext>
          </a:extLst>
        </xdr:cNvPr>
        <xdr:cNvSpPr/>
      </xdr:nvSpPr>
      <xdr:spPr>
        <a:xfrm>
          <a:off x="148320" y="2913970"/>
          <a:ext cx="572859" cy="347662"/>
        </a:xfrm>
        <a:prstGeom prst="wedgeRectCallout">
          <a:avLst>
            <a:gd name="adj1" fmla="val 68104"/>
            <a:gd name="adj2" fmla="val 36473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②月</a:t>
          </a:r>
        </a:p>
      </xdr:txBody>
    </xdr:sp>
    <xdr:clientData/>
  </xdr:twoCellAnchor>
  <xdr:twoCellAnchor>
    <xdr:from>
      <xdr:col>1</xdr:col>
      <xdr:colOff>5444</xdr:colOff>
      <xdr:row>20</xdr:row>
      <xdr:rowOff>63273</xdr:rowOff>
    </xdr:from>
    <xdr:to>
      <xdr:col>3</xdr:col>
      <xdr:colOff>81642</xdr:colOff>
      <xdr:row>22</xdr:row>
      <xdr:rowOff>29935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BB6707E7-661A-BD6F-0056-12B80A94730F}"/>
            </a:ext>
          </a:extLst>
        </xdr:cNvPr>
        <xdr:cNvSpPr/>
      </xdr:nvSpPr>
      <xdr:spPr>
        <a:xfrm>
          <a:off x="243570" y="3961720"/>
          <a:ext cx="552448" cy="347662"/>
        </a:xfrm>
        <a:prstGeom prst="wedgeRectCallout">
          <a:avLst>
            <a:gd name="adj1" fmla="val 89564"/>
            <a:gd name="adj2" fmla="val 3205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③日</a:t>
          </a:r>
        </a:p>
      </xdr:txBody>
    </xdr:sp>
    <xdr:clientData/>
  </xdr:twoCellAnchor>
  <xdr:twoCellAnchor>
    <xdr:from>
      <xdr:col>6</xdr:col>
      <xdr:colOff>5444</xdr:colOff>
      <xdr:row>25</xdr:row>
      <xdr:rowOff>117702</xdr:rowOff>
    </xdr:from>
    <xdr:to>
      <xdr:col>9</xdr:col>
      <xdr:colOff>190499</xdr:colOff>
      <xdr:row>27</xdr:row>
      <xdr:rowOff>84364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D221FCD7-A4B4-E35C-1E97-B42259EA61FE}"/>
            </a:ext>
          </a:extLst>
        </xdr:cNvPr>
        <xdr:cNvSpPr/>
      </xdr:nvSpPr>
      <xdr:spPr>
        <a:xfrm>
          <a:off x="1434194" y="4968649"/>
          <a:ext cx="899431" cy="347662"/>
        </a:xfrm>
        <a:prstGeom prst="wedgeRectCallout">
          <a:avLst>
            <a:gd name="adj1" fmla="val -45888"/>
            <a:gd name="adj2" fmla="val 101052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④手配先名</a:t>
          </a:r>
        </a:p>
      </xdr:txBody>
    </xdr:sp>
    <xdr:clientData/>
  </xdr:twoCellAnchor>
  <xdr:twoCellAnchor>
    <xdr:from>
      <xdr:col>17</xdr:col>
      <xdr:colOff>100693</xdr:colOff>
      <xdr:row>23</xdr:row>
      <xdr:rowOff>131310</xdr:rowOff>
    </xdr:from>
    <xdr:to>
      <xdr:col>21</xdr:col>
      <xdr:colOff>47624</xdr:colOff>
      <xdr:row>25</xdr:row>
      <xdr:rowOff>97972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F72DC827-4DB8-6BD7-49F3-8116D6FA8C46}"/>
            </a:ext>
          </a:extLst>
        </xdr:cNvPr>
        <xdr:cNvSpPr/>
      </xdr:nvSpPr>
      <xdr:spPr>
        <a:xfrm>
          <a:off x="4148819" y="4601257"/>
          <a:ext cx="899431" cy="347662"/>
        </a:xfrm>
        <a:prstGeom prst="wedgeRectCallout">
          <a:avLst>
            <a:gd name="adj1" fmla="val -40593"/>
            <a:gd name="adj2" fmla="val -143567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⑤稼働状況</a:t>
          </a:r>
        </a:p>
      </xdr:txBody>
    </xdr:sp>
    <xdr:clientData/>
  </xdr:twoCellAnchor>
  <xdr:oneCellAnchor>
    <xdr:from>
      <xdr:col>3</xdr:col>
      <xdr:colOff>0</xdr:colOff>
      <xdr:row>70</xdr:row>
      <xdr:rowOff>0</xdr:rowOff>
    </xdr:from>
    <xdr:ext cx="6840000" cy="3886364"/>
    <xdr:pic>
      <xdr:nvPicPr>
        <xdr:cNvPr id="11" name="図 10">
          <a:extLst>
            <a:ext uri="{FF2B5EF4-FFF2-40B4-BE49-F238E27FC236}">
              <a16:creationId xmlns:a16="http://schemas.microsoft.com/office/drawing/2014/main" id="{9017A96E-3DB0-4800-8658-FC716E997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4376" y="14566447"/>
          <a:ext cx="6840000" cy="3886364"/>
        </a:xfrm>
        <a:prstGeom prst="rect">
          <a:avLst/>
        </a:prstGeom>
      </xdr:spPr>
    </xdr:pic>
    <xdr:clientData/>
  </xdr:oneCellAnchor>
  <xdr:twoCellAnchor>
    <xdr:from>
      <xdr:col>18</xdr:col>
      <xdr:colOff>180975</xdr:colOff>
      <xdr:row>68</xdr:row>
      <xdr:rowOff>85725</xdr:rowOff>
    </xdr:from>
    <xdr:to>
      <xdr:col>25</xdr:col>
      <xdr:colOff>80963</xdr:colOff>
      <xdr:row>70</xdr:row>
      <xdr:rowOff>52387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51DE1847-C9EE-4113-B6D2-94F44992E312}"/>
            </a:ext>
          </a:extLst>
        </xdr:cNvPr>
        <xdr:cNvSpPr/>
      </xdr:nvSpPr>
      <xdr:spPr>
        <a:xfrm>
          <a:off x="4467225" y="2269672"/>
          <a:ext cx="1566864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①最終データ更新日時</a:t>
          </a:r>
        </a:p>
      </xdr:txBody>
    </xdr:sp>
    <xdr:clientData/>
  </xdr:twoCellAnchor>
  <xdr:twoCellAnchor>
    <xdr:from>
      <xdr:col>31</xdr:col>
      <xdr:colOff>66676</xdr:colOff>
      <xdr:row>72</xdr:row>
      <xdr:rowOff>138113</xdr:rowOff>
    </xdr:from>
    <xdr:to>
      <xdr:col>36</xdr:col>
      <xdr:colOff>176894</xdr:colOff>
      <xdr:row>74</xdr:row>
      <xdr:rowOff>104775</xdr:rowOff>
    </xdr:to>
    <xdr:sp macro="" textlink="">
      <xdr:nvSpPr>
        <xdr:cNvPr id="18" name="吹き出し: 四角形 17">
          <a:extLst>
            <a:ext uri="{FF2B5EF4-FFF2-40B4-BE49-F238E27FC236}">
              <a16:creationId xmlns:a16="http://schemas.microsoft.com/office/drawing/2014/main" id="{261AA0A5-29F5-4A9C-B786-97969FB7F3EB}"/>
            </a:ext>
          </a:extLst>
        </xdr:cNvPr>
        <xdr:cNvSpPr/>
      </xdr:nvSpPr>
      <xdr:spPr>
        <a:xfrm>
          <a:off x="7448552" y="3084060"/>
          <a:ext cx="1300842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⑥設備稼働状況</a:t>
          </a:r>
        </a:p>
      </xdr:txBody>
    </xdr:sp>
    <xdr:clientData/>
  </xdr:twoCellAnchor>
  <xdr:twoCellAnchor>
    <xdr:from>
      <xdr:col>15</xdr:col>
      <xdr:colOff>97972</xdr:colOff>
      <xdr:row>87</xdr:row>
      <xdr:rowOff>149678</xdr:rowOff>
    </xdr:from>
    <xdr:to>
      <xdr:col>22</xdr:col>
      <xdr:colOff>68036</xdr:colOff>
      <xdr:row>89</xdr:row>
      <xdr:rowOff>116340</xdr:rowOff>
    </xdr:to>
    <xdr:sp macro="" textlink="">
      <xdr:nvSpPr>
        <xdr:cNvPr id="27" name="吹き出し: 四角形 26">
          <a:extLst>
            <a:ext uri="{FF2B5EF4-FFF2-40B4-BE49-F238E27FC236}">
              <a16:creationId xmlns:a16="http://schemas.microsoft.com/office/drawing/2014/main" id="{16F344BD-18D3-42AC-9199-D870243C5F73}"/>
            </a:ext>
          </a:extLst>
        </xdr:cNvPr>
        <xdr:cNvSpPr/>
      </xdr:nvSpPr>
      <xdr:spPr>
        <a:xfrm>
          <a:off x="3669848" y="16811625"/>
          <a:ext cx="1636938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⑨１時間ごとの生産進捗</a:t>
          </a:r>
        </a:p>
      </xdr:txBody>
    </xdr:sp>
    <xdr:clientData/>
  </xdr:twoCellAnchor>
  <xdr:twoCellAnchor>
    <xdr:from>
      <xdr:col>0</xdr:col>
      <xdr:colOff>148320</xdr:colOff>
      <xdr:row>71</xdr:row>
      <xdr:rowOff>158523</xdr:rowOff>
    </xdr:from>
    <xdr:to>
      <xdr:col>3</xdr:col>
      <xdr:colOff>6803</xdr:colOff>
      <xdr:row>73</xdr:row>
      <xdr:rowOff>125185</xdr:rowOff>
    </xdr:to>
    <xdr:sp macro="" textlink="">
      <xdr:nvSpPr>
        <xdr:cNvPr id="28" name="吹き出し: 四角形 27">
          <a:extLst>
            <a:ext uri="{FF2B5EF4-FFF2-40B4-BE49-F238E27FC236}">
              <a16:creationId xmlns:a16="http://schemas.microsoft.com/office/drawing/2014/main" id="{26B5A9C9-1767-4471-A149-98C50CBCEE80}"/>
            </a:ext>
          </a:extLst>
        </xdr:cNvPr>
        <xdr:cNvSpPr/>
      </xdr:nvSpPr>
      <xdr:spPr>
        <a:xfrm>
          <a:off x="148320" y="2913970"/>
          <a:ext cx="572859" cy="347662"/>
        </a:xfrm>
        <a:prstGeom prst="wedgeRectCallout">
          <a:avLst>
            <a:gd name="adj1" fmla="val 68104"/>
            <a:gd name="adj2" fmla="val 36473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②月</a:t>
          </a:r>
        </a:p>
      </xdr:txBody>
    </xdr:sp>
    <xdr:clientData/>
  </xdr:twoCellAnchor>
  <xdr:twoCellAnchor>
    <xdr:from>
      <xdr:col>1</xdr:col>
      <xdr:colOff>5444</xdr:colOff>
      <xdr:row>77</xdr:row>
      <xdr:rowOff>63273</xdr:rowOff>
    </xdr:from>
    <xdr:to>
      <xdr:col>3</xdr:col>
      <xdr:colOff>81642</xdr:colOff>
      <xdr:row>79</xdr:row>
      <xdr:rowOff>29935</xdr:rowOff>
    </xdr:to>
    <xdr:sp macro="" textlink="">
      <xdr:nvSpPr>
        <xdr:cNvPr id="29" name="吹き出し: 四角形 28">
          <a:extLst>
            <a:ext uri="{FF2B5EF4-FFF2-40B4-BE49-F238E27FC236}">
              <a16:creationId xmlns:a16="http://schemas.microsoft.com/office/drawing/2014/main" id="{3A34F8FE-78DA-459D-9638-4019B62A3E52}"/>
            </a:ext>
          </a:extLst>
        </xdr:cNvPr>
        <xdr:cNvSpPr/>
      </xdr:nvSpPr>
      <xdr:spPr>
        <a:xfrm>
          <a:off x="243570" y="3961720"/>
          <a:ext cx="552448" cy="347662"/>
        </a:xfrm>
        <a:prstGeom prst="wedgeRectCallout">
          <a:avLst>
            <a:gd name="adj1" fmla="val 89564"/>
            <a:gd name="adj2" fmla="val 3205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③日</a:t>
          </a:r>
        </a:p>
      </xdr:txBody>
    </xdr:sp>
    <xdr:clientData/>
  </xdr:twoCellAnchor>
  <xdr:twoCellAnchor>
    <xdr:from>
      <xdr:col>6</xdr:col>
      <xdr:colOff>5444</xdr:colOff>
      <xdr:row>82</xdr:row>
      <xdr:rowOff>117702</xdr:rowOff>
    </xdr:from>
    <xdr:to>
      <xdr:col>9</xdr:col>
      <xdr:colOff>190499</xdr:colOff>
      <xdr:row>84</xdr:row>
      <xdr:rowOff>84364</xdr:rowOff>
    </xdr:to>
    <xdr:sp macro="" textlink="">
      <xdr:nvSpPr>
        <xdr:cNvPr id="30" name="吹き出し: 四角形 29">
          <a:extLst>
            <a:ext uri="{FF2B5EF4-FFF2-40B4-BE49-F238E27FC236}">
              <a16:creationId xmlns:a16="http://schemas.microsoft.com/office/drawing/2014/main" id="{395BCFE5-FB46-450C-9EDB-592030CE7C07}"/>
            </a:ext>
          </a:extLst>
        </xdr:cNvPr>
        <xdr:cNvSpPr/>
      </xdr:nvSpPr>
      <xdr:spPr>
        <a:xfrm>
          <a:off x="1434194" y="4968649"/>
          <a:ext cx="899431" cy="347662"/>
        </a:xfrm>
        <a:prstGeom prst="wedgeRectCallout">
          <a:avLst>
            <a:gd name="adj1" fmla="val -45888"/>
            <a:gd name="adj2" fmla="val 101052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④手配先名</a:t>
          </a:r>
        </a:p>
      </xdr:txBody>
    </xdr:sp>
    <xdr:clientData/>
  </xdr:twoCellAnchor>
  <xdr:twoCellAnchor>
    <xdr:from>
      <xdr:col>6</xdr:col>
      <xdr:colOff>19051</xdr:colOff>
      <xdr:row>88</xdr:row>
      <xdr:rowOff>104095</xdr:rowOff>
    </xdr:from>
    <xdr:to>
      <xdr:col>9</xdr:col>
      <xdr:colOff>204106</xdr:colOff>
      <xdr:row>90</xdr:row>
      <xdr:rowOff>70757</xdr:rowOff>
    </xdr:to>
    <xdr:sp macro="" textlink="">
      <xdr:nvSpPr>
        <xdr:cNvPr id="31" name="吹き出し: 四角形 30">
          <a:extLst>
            <a:ext uri="{FF2B5EF4-FFF2-40B4-BE49-F238E27FC236}">
              <a16:creationId xmlns:a16="http://schemas.microsoft.com/office/drawing/2014/main" id="{0F1EF3C3-8683-4FD1-A076-DDFD3C2EB3F2}"/>
            </a:ext>
          </a:extLst>
        </xdr:cNvPr>
        <xdr:cNvSpPr/>
      </xdr:nvSpPr>
      <xdr:spPr>
        <a:xfrm>
          <a:off x="1447801" y="6098042"/>
          <a:ext cx="899431" cy="347662"/>
        </a:xfrm>
        <a:prstGeom prst="wedgeRectCallout">
          <a:avLst>
            <a:gd name="adj1" fmla="val -64799"/>
            <a:gd name="adj2" fmla="val 1247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⑤ライン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134712</xdr:colOff>
      <xdr:row>77</xdr:row>
      <xdr:rowOff>22453</xdr:rowOff>
    </xdr:from>
    <xdr:to>
      <xdr:col>35</xdr:col>
      <xdr:colOff>95249</xdr:colOff>
      <xdr:row>78</xdr:row>
      <xdr:rowOff>179615</xdr:rowOff>
    </xdr:to>
    <xdr:sp macro="" textlink="">
      <xdr:nvSpPr>
        <xdr:cNvPr id="32" name="吹き出し: 四角形 31">
          <a:extLst>
            <a:ext uri="{FF2B5EF4-FFF2-40B4-BE49-F238E27FC236}">
              <a16:creationId xmlns:a16="http://schemas.microsoft.com/office/drawing/2014/main" id="{B92D76EE-7A72-4AE9-BF26-1D8ADAA20C7A}"/>
            </a:ext>
          </a:extLst>
        </xdr:cNvPr>
        <xdr:cNvSpPr/>
      </xdr:nvSpPr>
      <xdr:spPr>
        <a:xfrm>
          <a:off x="7516588" y="3920900"/>
          <a:ext cx="913037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⑦生産数</a:t>
          </a:r>
        </a:p>
      </xdr:txBody>
    </xdr:sp>
    <xdr:clientData/>
  </xdr:twoCellAnchor>
  <xdr:twoCellAnchor>
    <xdr:from>
      <xdr:col>25</xdr:col>
      <xdr:colOff>168730</xdr:colOff>
      <xdr:row>81</xdr:row>
      <xdr:rowOff>2043</xdr:rowOff>
    </xdr:from>
    <xdr:to>
      <xdr:col>29</xdr:col>
      <xdr:colOff>129267</xdr:colOff>
      <xdr:row>82</xdr:row>
      <xdr:rowOff>159205</xdr:rowOff>
    </xdr:to>
    <xdr:sp macro="" textlink="">
      <xdr:nvSpPr>
        <xdr:cNvPr id="33" name="吹き出し: 四角形 32">
          <a:extLst>
            <a:ext uri="{FF2B5EF4-FFF2-40B4-BE49-F238E27FC236}">
              <a16:creationId xmlns:a16="http://schemas.microsoft.com/office/drawing/2014/main" id="{7FD110E3-F260-4735-94B0-C4FF1DCEAF4E}"/>
            </a:ext>
          </a:extLst>
        </xdr:cNvPr>
        <xdr:cNvSpPr/>
      </xdr:nvSpPr>
      <xdr:spPr>
        <a:xfrm>
          <a:off x="6121856" y="4662490"/>
          <a:ext cx="913037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⑧不良数</a:t>
          </a:r>
        </a:p>
      </xdr:txBody>
    </xdr:sp>
    <xdr:clientData/>
  </xdr:twoCellAnchor>
  <xdr:twoCellAnchor>
    <xdr:from>
      <xdr:col>31</xdr:col>
      <xdr:colOff>70758</xdr:colOff>
      <xdr:row>84</xdr:row>
      <xdr:rowOff>163285</xdr:rowOff>
    </xdr:from>
    <xdr:to>
      <xdr:col>36</xdr:col>
      <xdr:colOff>156482</xdr:colOff>
      <xdr:row>86</xdr:row>
      <xdr:rowOff>129947</xdr:rowOff>
    </xdr:to>
    <xdr:sp macro="" textlink="">
      <xdr:nvSpPr>
        <xdr:cNvPr id="34" name="吹き出し: 四角形 33">
          <a:extLst>
            <a:ext uri="{FF2B5EF4-FFF2-40B4-BE49-F238E27FC236}">
              <a16:creationId xmlns:a16="http://schemas.microsoft.com/office/drawing/2014/main" id="{4B510007-3B79-7736-D2E0-8238C124735A}"/>
            </a:ext>
          </a:extLst>
        </xdr:cNvPr>
        <xdr:cNvSpPr/>
      </xdr:nvSpPr>
      <xdr:spPr>
        <a:xfrm>
          <a:off x="7452634" y="17396732"/>
          <a:ext cx="1276348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⑩稼働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停止要因</a:t>
          </a:r>
        </a:p>
      </xdr:txBody>
    </xdr:sp>
    <xdr:clientData/>
  </xdr:twoCellAnchor>
  <xdr:twoCellAnchor>
    <xdr:from>
      <xdr:col>4</xdr:col>
      <xdr:colOff>25854</xdr:colOff>
      <xdr:row>49</xdr:row>
      <xdr:rowOff>144916</xdr:rowOff>
    </xdr:from>
    <xdr:to>
      <xdr:col>7</xdr:col>
      <xdr:colOff>210909</xdr:colOff>
      <xdr:row>51</xdr:row>
      <xdr:rowOff>111578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3AE46AAC-7DFE-1812-1C59-BDC304204EA4}"/>
            </a:ext>
          </a:extLst>
        </xdr:cNvPr>
        <xdr:cNvSpPr/>
      </xdr:nvSpPr>
      <xdr:spPr>
        <a:xfrm>
          <a:off x="978354" y="9567863"/>
          <a:ext cx="899431" cy="347662"/>
        </a:xfrm>
        <a:prstGeom prst="wedgeRectCallout">
          <a:avLst>
            <a:gd name="adj1" fmla="val -38324"/>
            <a:gd name="adj2" fmla="val -108342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③手配先名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52</xdr:row>
      <xdr:rowOff>0</xdr:rowOff>
    </xdr:from>
    <xdr:to>
      <xdr:col>44</xdr:col>
      <xdr:colOff>19111</xdr:colOff>
      <xdr:row>83</xdr:row>
      <xdr:rowOff>19093</xdr:rowOff>
    </xdr:to>
    <xdr:pic>
      <xdr:nvPicPr>
        <xdr:cNvPr id="98" name="図 97">
          <a:extLst>
            <a:ext uri="{FF2B5EF4-FFF2-40B4-BE49-F238E27FC236}">
              <a16:creationId xmlns:a16="http://schemas.microsoft.com/office/drawing/2014/main" id="{3063EA5F-D758-087E-DCBE-641B425A9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4607" y="9906000"/>
          <a:ext cx="8305861" cy="5924593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21</xdr:col>
      <xdr:colOff>1</xdr:colOff>
      <xdr:row>6</xdr:row>
      <xdr:rowOff>0</xdr:rowOff>
    </xdr:from>
    <xdr:to>
      <xdr:col>24</xdr:col>
      <xdr:colOff>119659</xdr:colOff>
      <xdr:row>10</xdr:row>
      <xdr:rowOff>1680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A44FEA0-2C7E-4ABD-A92E-295BD4FE0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375" b="93304" l="3474" r="90323">
                      <a14:foregroundMark x1="12903" y1="54018" x2="12903" y2="54018"/>
                      <a14:foregroundMark x1="23821" y1="51339" x2="23821" y2="51339"/>
                      <a14:foregroundMark x1="31514" y1="49554" x2="31514" y2="49554"/>
                      <a14:foregroundMark x1="43176" y1="50446" x2="43176" y2="50446"/>
                      <a14:foregroundMark x1="23077" y1="41518" x2="40199" y2="41518"/>
                      <a14:foregroundMark x1="38710" y1="60491" x2="10918" y2="57366"/>
                      <a14:foregroundMark x1="10918" y1="57366" x2="9926" y2="43080"/>
                      <a14:foregroundMark x1="12655" y1="40625" x2="50124" y2="40625"/>
                      <a14:foregroundMark x1="50124" y1="40625" x2="56079" y2="55134"/>
                      <a14:foregroundMark x1="56079" y1="55134" x2="32506" y2="61607"/>
                      <a14:foregroundMark x1="32506" y1="61607" x2="15385" y2="62054"/>
                      <a14:foregroundMark x1="15385" y1="62054" x2="3722" y2="50893"/>
                      <a14:foregroundMark x1="3722" y1="50893" x2="10918" y2="38839"/>
                      <a14:foregroundMark x1="10918" y1="38839" x2="15881" y2="38839"/>
                      <a14:foregroundMark x1="55087" y1="39732" x2="56079" y2="54911"/>
                      <a14:foregroundMark x1="56079" y1="54911" x2="37221" y2="63839"/>
                      <a14:foregroundMark x1="37221" y1="63839" x2="20347" y2="63839"/>
                      <a14:foregroundMark x1="20347" y1="63839" x2="5955" y2="60268"/>
                      <a14:foregroundMark x1="5955" y1="60268" x2="46402" y2="52902"/>
                      <a14:foregroundMark x1="46402" y1="52902" x2="21836" y2="46875"/>
                      <a14:foregroundMark x1="21836" y1="46875" x2="34243" y2="45759"/>
                      <a14:foregroundMark x1="34243" y1="45759" x2="36476" y2="46205"/>
                      <a14:foregroundMark x1="52357" y1="62500" x2="52357" y2="62500"/>
                      <a14:foregroundMark x1="54591" y1="60045" x2="56079" y2="55357"/>
                      <a14:foregroundMark x1="58065" y1="40179" x2="57072" y2="56027"/>
                      <a14:foregroundMark x1="57072" y1="56027" x2="48139" y2="64286"/>
                      <a14:foregroundMark x1="18859" y1="52455" x2="28784" y2="52679"/>
                      <a14:foregroundMark x1="45906" y1="44866" x2="45906" y2="43080"/>
                      <a14:foregroundMark x1="18114" y1="50446" x2="17122" y2="52009"/>
                      <a14:foregroundMark x1="17122" y1="49330" x2="16625" y2="47098"/>
                      <a14:foregroundMark x1="8933" y1="44196" x2="55831" y2="61607"/>
                      <a14:foregroundMark x1="22084" y1="78125" x2="22084" y2="78125"/>
                      <a14:foregroundMark x1="22084" y1="75223" x2="20347" y2="85268"/>
                      <a14:foregroundMark x1="20596" y1="92188" x2="44665" y2="92857"/>
                      <a14:foregroundMark x1="50124" y1="92857" x2="85112" y2="93304"/>
                      <a14:foregroundMark x1="87841" y1="92188" x2="90323" y2="31920"/>
                      <a14:foregroundMark x1="41935" y1="45759" x2="43672" y2="51116"/>
                      <a14:foregroundMark x1="50868" y1="46429" x2="47643" y2="5089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200526" y="1143000"/>
          <a:ext cx="719733" cy="763680"/>
        </a:xfrm>
        <a:prstGeom prst="rect">
          <a:avLst/>
        </a:prstGeom>
      </xdr:spPr>
    </xdr:pic>
    <xdr:clientData/>
  </xdr:twoCellAnchor>
  <xdr:twoCellAnchor>
    <xdr:from>
      <xdr:col>32</xdr:col>
      <xdr:colOff>190501</xdr:colOff>
      <xdr:row>13</xdr:row>
      <xdr:rowOff>0</xdr:rowOff>
    </xdr:from>
    <xdr:to>
      <xdr:col>33</xdr:col>
      <xdr:colOff>-1</xdr:colOff>
      <xdr:row>14</xdr:row>
      <xdr:rowOff>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349C1858-B4C7-4CAE-A25C-9121BB27F40C}"/>
            </a:ext>
          </a:extLst>
        </xdr:cNvPr>
        <xdr:cNvCxnSpPr>
          <a:stCxn id="10" idx="2"/>
          <a:endCxn id="7" idx="1"/>
        </xdr:cNvCxnSpPr>
      </xdr:nvCxnSpPr>
      <xdr:spPr>
        <a:xfrm>
          <a:off x="6504215" y="2476500"/>
          <a:ext cx="6803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47626</xdr:colOff>
      <xdr:row>6</xdr:row>
      <xdr:rowOff>0</xdr:rowOff>
    </xdr:from>
    <xdr:to>
      <xdr:col>34</xdr:col>
      <xdr:colOff>167284</xdr:colOff>
      <xdr:row>10</xdr:row>
      <xdr:rowOff>1680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03564DC-56E7-4AFE-991D-DC3F51CFE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375" b="93304" l="3474" r="90323">
                      <a14:foregroundMark x1="12903" y1="54018" x2="12903" y2="54018"/>
                      <a14:foregroundMark x1="23821" y1="51339" x2="23821" y2="51339"/>
                      <a14:foregroundMark x1="31514" y1="49554" x2="31514" y2="49554"/>
                      <a14:foregroundMark x1="43176" y1="50446" x2="43176" y2="50446"/>
                      <a14:foregroundMark x1="23077" y1="41518" x2="40199" y2="41518"/>
                      <a14:foregroundMark x1="38710" y1="60491" x2="10918" y2="57366"/>
                      <a14:foregroundMark x1="10918" y1="57366" x2="9926" y2="43080"/>
                      <a14:foregroundMark x1="12655" y1="40625" x2="50124" y2="40625"/>
                      <a14:foregroundMark x1="50124" y1="40625" x2="56079" y2="55134"/>
                      <a14:foregroundMark x1="56079" y1="55134" x2="32506" y2="61607"/>
                      <a14:foregroundMark x1="32506" y1="61607" x2="15385" y2="62054"/>
                      <a14:foregroundMark x1="15385" y1="62054" x2="3722" y2="50893"/>
                      <a14:foregroundMark x1="3722" y1="50893" x2="10918" y2="38839"/>
                      <a14:foregroundMark x1="10918" y1="38839" x2="15881" y2="38839"/>
                      <a14:foregroundMark x1="55087" y1="39732" x2="56079" y2="54911"/>
                      <a14:foregroundMark x1="56079" y1="54911" x2="37221" y2="63839"/>
                      <a14:foregroundMark x1="37221" y1="63839" x2="20347" y2="63839"/>
                      <a14:foregroundMark x1="20347" y1="63839" x2="5955" y2="60268"/>
                      <a14:foregroundMark x1="5955" y1="60268" x2="46402" y2="52902"/>
                      <a14:foregroundMark x1="46402" y1="52902" x2="21836" y2="46875"/>
                      <a14:foregroundMark x1="21836" y1="46875" x2="34243" y2="45759"/>
                      <a14:foregroundMark x1="34243" y1="45759" x2="36476" y2="46205"/>
                      <a14:foregroundMark x1="52357" y1="62500" x2="52357" y2="62500"/>
                      <a14:foregroundMark x1="54591" y1="60045" x2="56079" y2="55357"/>
                      <a14:foregroundMark x1="58065" y1="40179" x2="57072" y2="56027"/>
                      <a14:foregroundMark x1="57072" y1="56027" x2="48139" y2="64286"/>
                      <a14:foregroundMark x1="18859" y1="52455" x2="28784" y2="52679"/>
                      <a14:foregroundMark x1="45906" y1="44866" x2="45906" y2="43080"/>
                      <a14:foregroundMark x1="18114" y1="50446" x2="17122" y2="52009"/>
                      <a14:foregroundMark x1="17122" y1="49330" x2="16625" y2="47098"/>
                      <a14:foregroundMark x1="8933" y1="44196" x2="55831" y2="61607"/>
                      <a14:foregroundMark x1="22084" y1="78125" x2="22084" y2="78125"/>
                      <a14:foregroundMark x1="22084" y1="75223" x2="20347" y2="85268"/>
                      <a14:foregroundMark x1="20596" y1="92188" x2="44665" y2="92857"/>
                      <a14:foregroundMark x1="50124" y1="92857" x2="85112" y2="93304"/>
                      <a14:foregroundMark x1="87841" y1="92188" x2="90323" y2="31920"/>
                      <a14:foregroundMark x1="41935" y1="45759" x2="43672" y2="51116"/>
                      <a14:foregroundMark x1="50868" y1="46429" x2="47643" y2="5089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48401" y="1143000"/>
          <a:ext cx="719733" cy="763680"/>
        </a:xfrm>
        <a:prstGeom prst="rect">
          <a:avLst/>
        </a:prstGeom>
      </xdr:spPr>
    </xdr:pic>
    <xdr:clientData/>
  </xdr:twoCellAnchor>
  <xdr:twoCellAnchor>
    <xdr:from>
      <xdr:col>31</xdr:col>
      <xdr:colOff>47625</xdr:colOff>
      <xdr:row>4</xdr:row>
      <xdr:rowOff>1</xdr:rowOff>
    </xdr:from>
    <xdr:to>
      <xdr:col>36</xdr:col>
      <xdr:colOff>57150</xdr:colOff>
      <xdr:row>6</xdr:row>
      <xdr:rowOff>1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A85411E9-09CE-48F0-8B72-202D3467653D}"/>
            </a:ext>
          </a:extLst>
        </xdr:cNvPr>
        <xdr:cNvSpPr txBox="1"/>
      </xdr:nvSpPr>
      <xdr:spPr>
        <a:xfrm>
          <a:off x="6248400" y="762001"/>
          <a:ext cx="1009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Stop_log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30</xdr:col>
      <xdr:colOff>0</xdr:colOff>
      <xdr:row>14</xdr:row>
      <xdr:rowOff>0</xdr:rowOff>
    </xdr:from>
    <xdr:to>
      <xdr:col>36</xdr:col>
      <xdr:colOff>0</xdr:colOff>
      <xdr:row>18</xdr:row>
      <xdr:rowOff>0</xdr:rowOff>
    </xdr:to>
    <xdr:sp macro="" textlink="">
      <xdr:nvSpPr>
        <xdr:cNvPr id="7" name="フローチャート: 磁気ディスク 6">
          <a:extLst>
            <a:ext uri="{FF2B5EF4-FFF2-40B4-BE49-F238E27FC236}">
              <a16:creationId xmlns:a16="http://schemas.microsoft.com/office/drawing/2014/main" id="{DEEB43C2-FC0E-469D-AD6E-00CD4CFA1964}"/>
            </a:ext>
          </a:extLst>
        </xdr:cNvPr>
        <xdr:cNvSpPr/>
      </xdr:nvSpPr>
      <xdr:spPr>
        <a:xfrm>
          <a:off x="5919107" y="2667000"/>
          <a:ext cx="1183822" cy="762000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STOP_LOG</a:t>
          </a:r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46</xdr:col>
      <xdr:colOff>67799</xdr:colOff>
      <xdr:row>6</xdr:row>
      <xdr:rowOff>1680</xdr:rowOff>
    </xdr:from>
    <xdr:to>
      <xdr:col>49</xdr:col>
      <xdr:colOff>187455</xdr:colOff>
      <xdr:row>10</xdr:row>
      <xdr:rowOff>1679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6E6CAEC-1B9D-4699-99DC-5B3ACD566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375" b="93304" l="3474" r="90323">
                      <a14:foregroundMark x1="12903" y1="54018" x2="12903" y2="54018"/>
                      <a14:foregroundMark x1="23821" y1="51339" x2="23821" y2="51339"/>
                      <a14:foregroundMark x1="31514" y1="49554" x2="31514" y2="49554"/>
                      <a14:foregroundMark x1="43176" y1="50446" x2="43176" y2="50446"/>
                      <a14:foregroundMark x1="23077" y1="41518" x2="40199" y2="41518"/>
                      <a14:foregroundMark x1="38710" y1="60491" x2="10918" y2="57366"/>
                      <a14:foregroundMark x1="10918" y1="57366" x2="9926" y2="43080"/>
                      <a14:foregroundMark x1="12655" y1="40625" x2="50124" y2="40625"/>
                      <a14:foregroundMark x1="50124" y1="40625" x2="56079" y2="55134"/>
                      <a14:foregroundMark x1="56079" y1="55134" x2="32506" y2="61607"/>
                      <a14:foregroundMark x1="32506" y1="61607" x2="15385" y2="62054"/>
                      <a14:foregroundMark x1="15385" y1="62054" x2="3722" y2="50893"/>
                      <a14:foregroundMark x1="3722" y1="50893" x2="10918" y2="38839"/>
                      <a14:foregroundMark x1="10918" y1="38839" x2="15881" y2="38839"/>
                      <a14:foregroundMark x1="55087" y1="39732" x2="56079" y2="54911"/>
                      <a14:foregroundMark x1="56079" y1="54911" x2="37221" y2="63839"/>
                      <a14:foregroundMark x1="37221" y1="63839" x2="20347" y2="63839"/>
                      <a14:foregroundMark x1="20347" y1="63839" x2="5955" y2="60268"/>
                      <a14:foregroundMark x1="5955" y1="60268" x2="46402" y2="52902"/>
                      <a14:foregroundMark x1="46402" y1="52902" x2="21836" y2="46875"/>
                      <a14:foregroundMark x1="21836" y1="46875" x2="34243" y2="45759"/>
                      <a14:foregroundMark x1="34243" y1="45759" x2="36476" y2="46205"/>
                      <a14:foregroundMark x1="52357" y1="62500" x2="52357" y2="62500"/>
                      <a14:foregroundMark x1="54591" y1="60045" x2="56079" y2="55357"/>
                      <a14:foregroundMark x1="58065" y1="40179" x2="57072" y2="56027"/>
                      <a14:foregroundMark x1="57072" y1="56027" x2="48139" y2="64286"/>
                      <a14:foregroundMark x1="18859" y1="52455" x2="28784" y2="52679"/>
                      <a14:foregroundMark x1="45906" y1="44866" x2="45906" y2="43080"/>
                      <a14:foregroundMark x1="18114" y1="50446" x2="17122" y2="52009"/>
                      <a14:foregroundMark x1="17122" y1="49330" x2="16625" y2="47098"/>
                      <a14:foregroundMark x1="8933" y1="44196" x2="55831" y2="61607"/>
                      <a14:foregroundMark x1="22084" y1="78125" x2="22084" y2="78125"/>
                      <a14:foregroundMark x1="22084" y1="75223" x2="20347" y2="85268"/>
                      <a14:foregroundMark x1="20596" y1="92188" x2="44665" y2="92857"/>
                      <a14:foregroundMark x1="50124" y1="92857" x2="85112" y2="93304"/>
                      <a14:foregroundMark x1="87841" y1="92188" x2="90323" y2="31920"/>
                      <a14:foregroundMark x1="41935" y1="45759" x2="43672" y2="51116"/>
                      <a14:foregroundMark x1="50868" y1="46429" x2="47643" y2="5089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69274" y="1144680"/>
          <a:ext cx="719733" cy="761999"/>
        </a:xfrm>
        <a:prstGeom prst="rect">
          <a:avLst/>
        </a:prstGeom>
      </xdr:spPr>
    </xdr:pic>
    <xdr:clientData/>
  </xdr:twoCellAnchor>
  <xdr:twoCellAnchor>
    <xdr:from>
      <xdr:col>46</xdr:col>
      <xdr:colOff>67798</xdr:colOff>
      <xdr:row>4</xdr:row>
      <xdr:rowOff>0</xdr:rowOff>
    </xdr:from>
    <xdr:to>
      <xdr:col>51</xdr:col>
      <xdr:colOff>79004</xdr:colOff>
      <xdr:row>6</xdr:row>
      <xdr:rowOff>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576BE0DE-DFAF-4A26-9C11-84A5AD7F6BD8}"/>
            </a:ext>
          </a:extLst>
        </xdr:cNvPr>
        <xdr:cNvSpPr txBox="1"/>
      </xdr:nvSpPr>
      <xdr:spPr>
        <a:xfrm>
          <a:off x="11869273" y="762000"/>
          <a:ext cx="1011331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Plod_log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190500</xdr:colOff>
      <xdr:row>11</xdr:row>
      <xdr:rowOff>0</xdr:rowOff>
    </xdr:from>
    <xdr:to>
      <xdr:col>35</xdr:col>
      <xdr:colOff>190500</xdr:colOff>
      <xdr:row>13</xdr:row>
      <xdr:rowOff>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21DCA240-2FFB-47B5-B5D5-C6EE5807DAFE}"/>
            </a:ext>
          </a:extLst>
        </xdr:cNvPr>
        <xdr:cNvSpPr/>
      </xdr:nvSpPr>
      <xdr:spPr>
        <a:xfrm>
          <a:off x="5912304" y="2095500"/>
          <a:ext cx="1183822" cy="3810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TB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化</a:t>
          </a:r>
        </a:p>
      </xdr:txBody>
    </xdr:sp>
    <xdr:clientData/>
  </xdr:twoCellAnchor>
  <xdr:twoCellAnchor>
    <xdr:from>
      <xdr:col>32</xdr:col>
      <xdr:colOff>190502</xdr:colOff>
      <xdr:row>10</xdr:row>
      <xdr:rowOff>0</xdr:rowOff>
    </xdr:from>
    <xdr:to>
      <xdr:col>32</xdr:col>
      <xdr:colOff>190502</xdr:colOff>
      <xdr:row>11</xdr:row>
      <xdr:rowOff>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F1523859-2171-4FC6-B9D0-6FB403E9B9FF}"/>
            </a:ext>
          </a:extLst>
        </xdr:cNvPr>
        <xdr:cNvCxnSpPr>
          <a:endCxn id="10" idx="0"/>
        </xdr:cNvCxnSpPr>
      </xdr:nvCxnSpPr>
      <xdr:spPr>
        <a:xfrm>
          <a:off x="6504216" y="1905000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</xdr:colOff>
      <xdr:row>13</xdr:row>
      <xdr:rowOff>0</xdr:rowOff>
    </xdr:from>
    <xdr:to>
      <xdr:col>48</xdr:col>
      <xdr:colOff>2</xdr:colOff>
      <xdr:row>14</xdr:row>
      <xdr:rowOff>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5176590D-4252-4BEC-BBB0-7F50980E8418}"/>
            </a:ext>
          </a:extLst>
        </xdr:cNvPr>
        <xdr:cNvCxnSpPr>
          <a:stCxn id="14" idx="2"/>
          <a:endCxn id="13" idx="1"/>
        </xdr:cNvCxnSpPr>
      </xdr:nvCxnSpPr>
      <xdr:spPr>
        <a:xfrm>
          <a:off x="9470572" y="2476500"/>
          <a:ext cx="1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14</xdr:row>
      <xdr:rowOff>0</xdr:rowOff>
    </xdr:from>
    <xdr:to>
      <xdr:col>51</xdr:col>
      <xdr:colOff>1</xdr:colOff>
      <xdr:row>18</xdr:row>
      <xdr:rowOff>0</xdr:rowOff>
    </xdr:to>
    <xdr:sp macro="" textlink="">
      <xdr:nvSpPr>
        <xdr:cNvPr id="13" name="フローチャート: 磁気ディスク 12">
          <a:extLst>
            <a:ext uri="{FF2B5EF4-FFF2-40B4-BE49-F238E27FC236}">
              <a16:creationId xmlns:a16="http://schemas.microsoft.com/office/drawing/2014/main" id="{14876ACC-22D0-490F-80EB-EA04EA164FAB}"/>
            </a:ext>
          </a:extLst>
        </xdr:cNvPr>
        <xdr:cNvSpPr/>
      </xdr:nvSpPr>
      <xdr:spPr>
        <a:xfrm>
          <a:off x="8878661" y="2667000"/>
          <a:ext cx="1183823" cy="762000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PROD_LOG</a:t>
          </a:r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197303</xdr:colOff>
      <xdr:row>11</xdr:row>
      <xdr:rowOff>1</xdr:rowOff>
    </xdr:from>
    <xdr:to>
      <xdr:col>51</xdr:col>
      <xdr:colOff>0</xdr:colOff>
      <xdr:row>13</xdr:row>
      <xdr:rowOff>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2701B0C3-EDED-4032-82B7-E6800D675216}"/>
            </a:ext>
          </a:extLst>
        </xdr:cNvPr>
        <xdr:cNvSpPr/>
      </xdr:nvSpPr>
      <xdr:spPr>
        <a:xfrm>
          <a:off x="8878660" y="2095501"/>
          <a:ext cx="1183823" cy="380999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TB</a:t>
          </a:r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化</a:t>
          </a:r>
        </a:p>
      </xdr:txBody>
    </xdr:sp>
    <xdr:clientData/>
  </xdr:twoCellAnchor>
  <xdr:twoCellAnchor>
    <xdr:from>
      <xdr:col>47</xdr:col>
      <xdr:colOff>197301</xdr:colOff>
      <xdr:row>10</xdr:row>
      <xdr:rowOff>1</xdr:rowOff>
    </xdr:from>
    <xdr:to>
      <xdr:col>47</xdr:col>
      <xdr:colOff>197301</xdr:colOff>
      <xdr:row>11</xdr:row>
      <xdr:rowOff>1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BA36831C-6AD5-4597-9AF2-FE4E763F7B6B}"/>
            </a:ext>
          </a:extLst>
        </xdr:cNvPr>
        <xdr:cNvCxnSpPr>
          <a:endCxn id="14" idx="0"/>
        </xdr:cNvCxnSpPr>
      </xdr:nvCxnSpPr>
      <xdr:spPr>
        <a:xfrm>
          <a:off x="9470570" y="1905001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6</xdr:row>
      <xdr:rowOff>0</xdr:rowOff>
    </xdr:from>
    <xdr:to>
      <xdr:col>8</xdr:col>
      <xdr:colOff>192884</xdr:colOff>
      <xdr:row>9</xdr:row>
      <xdr:rowOff>190400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DBC6CEBE-D847-48E3-AC5F-C8DB7DBA0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7872" b="94752" l="5294" r="90000">
                      <a14:foregroundMark x1="68235" y1="25073" x2="68824" y2="22157"/>
                      <a14:foregroundMark x1="57353" y1="41399" x2="57353" y2="41399"/>
                      <a14:foregroundMark x1="73824" y1="53061" x2="73824" y2="53061"/>
                      <a14:foregroundMark x1="75000" y1="64431" x2="75000" y2="64431"/>
                      <a14:foregroundMark x1="5882" y1="76093" x2="5882" y2="76093"/>
                      <a14:foregroundMark x1="26176" y1="77259" x2="26176" y2="77259"/>
                      <a14:foregroundMark x1="24706" y1="8163" x2="24706" y2="8163"/>
                      <a14:foregroundMark x1="24706" y1="94752" x2="24706" y2="94752"/>
                      <a14:foregroundMark x1="73824" y1="87172" x2="73824" y2="87172"/>
                      <a14:foregroundMark x1="72941" y1="75510" x2="72941" y2="7551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00125" y="1143000"/>
          <a:ext cx="792959" cy="761900"/>
        </a:xfrm>
        <a:prstGeom prst="rect">
          <a:avLst/>
        </a:prstGeom>
      </xdr:spPr>
    </xdr:pic>
    <xdr:clientData/>
  </xdr:twoCellAnchor>
  <xdr:twoCellAnchor>
    <xdr:from>
      <xdr:col>4</xdr:col>
      <xdr:colOff>190500</xdr:colOff>
      <xdr:row>4</xdr:row>
      <xdr:rowOff>0</xdr:rowOff>
    </xdr:from>
    <xdr:to>
      <xdr:col>11</xdr:col>
      <xdr:colOff>0</xdr:colOff>
      <xdr:row>6</xdr:row>
      <xdr:rowOff>0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7CF07F12-8F1C-496B-826F-9FB3D6811FFE}"/>
            </a:ext>
          </a:extLst>
        </xdr:cNvPr>
        <xdr:cNvSpPr txBox="1"/>
      </xdr:nvSpPr>
      <xdr:spPr>
        <a:xfrm>
          <a:off x="990600" y="762000"/>
          <a:ext cx="120967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ライン一覧マスタ</a:t>
          </a:r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7</xdr:col>
      <xdr:colOff>0</xdr:colOff>
      <xdr:row>14</xdr:row>
      <xdr:rowOff>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A90B6939-16B4-4809-B382-79C765999210}"/>
            </a:ext>
          </a:extLst>
        </xdr:cNvPr>
        <xdr:cNvCxnSpPr/>
      </xdr:nvCxnSpPr>
      <xdr:spPr>
        <a:xfrm>
          <a:off x="1400175" y="2476500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14</xdr:row>
      <xdr:rowOff>0</xdr:rowOff>
    </xdr:from>
    <xdr:to>
      <xdr:col>10</xdr:col>
      <xdr:colOff>1</xdr:colOff>
      <xdr:row>18</xdr:row>
      <xdr:rowOff>0</xdr:rowOff>
    </xdr:to>
    <xdr:sp macro="" textlink="">
      <xdr:nvSpPr>
        <xdr:cNvPr id="19" name="フローチャート: 磁気ディスク 18">
          <a:extLst>
            <a:ext uri="{FF2B5EF4-FFF2-40B4-BE49-F238E27FC236}">
              <a16:creationId xmlns:a16="http://schemas.microsoft.com/office/drawing/2014/main" id="{0A55DA09-D09A-483F-B41A-468DFAFB6B6E}"/>
            </a:ext>
          </a:extLst>
        </xdr:cNvPr>
        <xdr:cNvSpPr/>
      </xdr:nvSpPr>
      <xdr:spPr>
        <a:xfrm>
          <a:off x="800100" y="2667000"/>
          <a:ext cx="1200151" cy="762000"/>
        </a:xfrm>
        <a:prstGeom prst="flowChartMagneticDisk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mst_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ライン一覧</a:t>
          </a:r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10</xdr:col>
      <xdr:colOff>1</xdr:colOff>
      <xdr:row>13</xdr:row>
      <xdr:rowOff>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96C15621-0F12-4514-ABD7-A00362DFD9D6}"/>
            </a:ext>
          </a:extLst>
        </xdr:cNvPr>
        <xdr:cNvSpPr/>
      </xdr:nvSpPr>
      <xdr:spPr>
        <a:xfrm>
          <a:off x="800100" y="2095500"/>
          <a:ext cx="1200151" cy="3810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取り込み</a:t>
          </a:r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7</xdr:col>
      <xdr:colOff>0</xdr:colOff>
      <xdr:row>11</xdr:row>
      <xdr:rowOff>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4649AD1B-F052-48E2-9B54-459DFAF7F43D}"/>
            </a:ext>
          </a:extLst>
        </xdr:cNvPr>
        <xdr:cNvCxnSpPr>
          <a:endCxn id="20" idx="0"/>
        </xdr:cNvCxnSpPr>
      </xdr:nvCxnSpPr>
      <xdr:spPr>
        <a:xfrm>
          <a:off x="1400175" y="1905000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13</xdr:col>
      <xdr:colOff>0</xdr:colOff>
      <xdr:row>6</xdr:row>
      <xdr:rowOff>0</xdr:rowOff>
    </xdr:from>
    <xdr:ext cx="798002" cy="805043"/>
    <xdr:pic>
      <xdr:nvPicPr>
        <xdr:cNvPr id="22" name="図 21">
          <a:extLst>
            <a:ext uri="{FF2B5EF4-FFF2-40B4-BE49-F238E27FC236}">
              <a16:creationId xmlns:a16="http://schemas.microsoft.com/office/drawing/2014/main" id="{89072C06-A5D6-48D2-9FEA-2800F679E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7872" b="94752" l="5294" r="90000">
                      <a14:foregroundMark x1="68235" y1="25073" x2="68824" y2="22157"/>
                      <a14:foregroundMark x1="57353" y1="41399" x2="57353" y2="41399"/>
                      <a14:foregroundMark x1="73824" y1="53061" x2="73824" y2="53061"/>
                      <a14:foregroundMark x1="75000" y1="64431" x2="75000" y2="64431"/>
                      <a14:foregroundMark x1="5882" y1="76093" x2="5882" y2="76093"/>
                      <a14:foregroundMark x1="26176" y1="77259" x2="26176" y2="77259"/>
                      <a14:foregroundMark x1="24706" y1="8163" x2="24706" y2="8163"/>
                      <a14:foregroundMark x1="24706" y1="94752" x2="24706" y2="94752"/>
                      <a14:foregroundMark x1="73824" y1="87172" x2="73824" y2="87172"/>
                      <a14:foregroundMark x1="72941" y1="75510" x2="72941" y2="7551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00325" y="1143000"/>
          <a:ext cx="798002" cy="805043"/>
        </a:xfrm>
        <a:prstGeom prst="rect">
          <a:avLst/>
        </a:prstGeom>
      </xdr:spPr>
    </xdr:pic>
    <xdr:clientData/>
  </xdr:oneCellAnchor>
  <xdr:twoCellAnchor>
    <xdr:from>
      <xdr:col>12</xdr:col>
      <xdr:colOff>190500</xdr:colOff>
      <xdr:row>4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13E54425-8EA0-4897-BFA1-05F77546343C}"/>
            </a:ext>
          </a:extLst>
        </xdr:cNvPr>
        <xdr:cNvSpPr txBox="1"/>
      </xdr:nvSpPr>
      <xdr:spPr>
        <a:xfrm>
          <a:off x="2590800" y="762000"/>
          <a:ext cx="120967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停止要因マスタ</a:t>
          </a:r>
        </a:p>
      </xdr:txBody>
    </xdr:sp>
    <xdr:clientData/>
  </xdr:twoCellAnchor>
  <xdr:twoCellAnchor>
    <xdr:from>
      <xdr:col>15</xdr:col>
      <xdr:colOff>0</xdr:colOff>
      <xdr:row>13</xdr:row>
      <xdr:rowOff>0</xdr:rowOff>
    </xdr:from>
    <xdr:to>
      <xdr:col>15</xdr:col>
      <xdr:colOff>0</xdr:colOff>
      <xdr:row>14</xdr:row>
      <xdr:rowOff>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80E25173-403D-4C63-A795-0527531A02D3}"/>
            </a:ext>
          </a:extLst>
        </xdr:cNvPr>
        <xdr:cNvCxnSpPr/>
      </xdr:nvCxnSpPr>
      <xdr:spPr>
        <a:xfrm>
          <a:off x="3000375" y="2476500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14</xdr:row>
      <xdr:rowOff>0</xdr:rowOff>
    </xdr:from>
    <xdr:to>
      <xdr:col>18</xdr:col>
      <xdr:colOff>1</xdr:colOff>
      <xdr:row>18</xdr:row>
      <xdr:rowOff>0</xdr:rowOff>
    </xdr:to>
    <xdr:sp macro="" textlink="">
      <xdr:nvSpPr>
        <xdr:cNvPr id="25" name="フローチャート: 磁気ディスク 24">
          <a:extLst>
            <a:ext uri="{FF2B5EF4-FFF2-40B4-BE49-F238E27FC236}">
              <a16:creationId xmlns:a16="http://schemas.microsoft.com/office/drawing/2014/main" id="{E8D46007-04A5-476D-A594-7BA0E7A48FE7}"/>
            </a:ext>
          </a:extLst>
        </xdr:cNvPr>
        <xdr:cNvSpPr/>
      </xdr:nvSpPr>
      <xdr:spPr>
        <a:xfrm>
          <a:off x="2400300" y="2667000"/>
          <a:ext cx="1200151" cy="762000"/>
        </a:xfrm>
        <a:prstGeom prst="flowChartMagneticDisk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mst_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停止要因</a:t>
          </a:r>
        </a:p>
      </xdr:txBody>
    </xdr:sp>
    <xdr:clientData/>
  </xdr:twoCellAnchor>
  <xdr:twoCellAnchor>
    <xdr:from>
      <xdr:col>12</xdr:col>
      <xdr:colOff>0</xdr:colOff>
      <xdr:row>11</xdr:row>
      <xdr:rowOff>0</xdr:rowOff>
    </xdr:from>
    <xdr:to>
      <xdr:col>18</xdr:col>
      <xdr:colOff>1</xdr:colOff>
      <xdr:row>13</xdr:row>
      <xdr:rowOff>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94FA799A-1192-4DA9-9AA3-5BBDFBB7D96C}"/>
            </a:ext>
          </a:extLst>
        </xdr:cNvPr>
        <xdr:cNvSpPr/>
      </xdr:nvSpPr>
      <xdr:spPr>
        <a:xfrm>
          <a:off x="2400300" y="2095500"/>
          <a:ext cx="1200151" cy="3810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取り込み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0</xdr:colOff>
      <xdr:row>11</xdr:row>
      <xdr:rowOff>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857E496F-5F64-4F22-B96D-2A192180A7C2}"/>
            </a:ext>
          </a:extLst>
        </xdr:cNvPr>
        <xdr:cNvCxnSpPr>
          <a:endCxn id="26" idx="0"/>
        </xdr:cNvCxnSpPr>
      </xdr:nvCxnSpPr>
      <xdr:spPr>
        <a:xfrm>
          <a:off x="3000375" y="1905000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200024</xdr:colOff>
      <xdr:row>3</xdr:row>
      <xdr:rowOff>1</xdr:rowOff>
    </xdr:from>
    <xdr:to>
      <xdr:col>27</xdr:col>
      <xdr:colOff>200024</xdr:colOff>
      <xdr:row>4</xdr:row>
      <xdr:rowOff>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1E1789AD-A7C0-49B9-9D15-3588C74E125A}"/>
            </a:ext>
          </a:extLst>
        </xdr:cNvPr>
        <xdr:cNvSpPr/>
      </xdr:nvSpPr>
      <xdr:spPr>
        <a:xfrm>
          <a:off x="600074" y="571501"/>
          <a:ext cx="5000625" cy="190499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１．マスタ取り込み</a:t>
          </a:r>
        </a:p>
      </xdr:txBody>
    </xdr:sp>
    <xdr:clientData/>
  </xdr:twoCellAnchor>
  <xdr:twoCellAnchor>
    <xdr:from>
      <xdr:col>29</xdr:col>
      <xdr:colOff>57150</xdr:colOff>
      <xdr:row>3</xdr:row>
      <xdr:rowOff>1</xdr:rowOff>
    </xdr:from>
    <xdr:to>
      <xdr:col>44</xdr:col>
      <xdr:colOff>0</xdr:colOff>
      <xdr:row>4</xdr:row>
      <xdr:rowOff>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0F156EC6-EA27-4399-8990-56C073BF7BD5}"/>
            </a:ext>
          </a:extLst>
        </xdr:cNvPr>
        <xdr:cNvSpPr/>
      </xdr:nvSpPr>
      <xdr:spPr>
        <a:xfrm>
          <a:off x="5857875" y="571501"/>
          <a:ext cx="5543550" cy="190499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２．</a:t>
          </a:r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Stop_log</a:t>
          </a:r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作成</a:t>
          </a:r>
        </a:p>
      </xdr:txBody>
    </xdr:sp>
    <xdr:clientData/>
  </xdr:twoCellAnchor>
  <xdr:twoCellAnchor editAs="oneCell">
    <xdr:from>
      <xdr:col>2</xdr:col>
      <xdr:colOff>123264</xdr:colOff>
      <xdr:row>18</xdr:row>
      <xdr:rowOff>122144</xdr:rowOff>
    </xdr:from>
    <xdr:to>
      <xdr:col>12</xdr:col>
      <xdr:colOff>158235</xdr:colOff>
      <xdr:row>24</xdr:row>
      <xdr:rowOff>110938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9E525A24-7B24-4EF3-AA25-AE7662029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3314" y="3551144"/>
          <a:ext cx="2035221" cy="1131794"/>
        </a:xfrm>
        <a:prstGeom prst="rect">
          <a:avLst/>
        </a:prstGeom>
      </xdr:spPr>
    </xdr:pic>
    <xdr:clientData/>
  </xdr:twoCellAnchor>
  <xdr:twoCellAnchor editAs="oneCell">
    <xdr:from>
      <xdr:col>13</xdr:col>
      <xdr:colOff>11206</xdr:colOff>
      <xdr:row>18</xdr:row>
      <xdr:rowOff>100853</xdr:rowOff>
    </xdr:from>
    <xdr:to>
      <xdr:col>20</xdr:col>
      <xdr:colOff>153287</xdr:colOff>
      <xdr:row>27</xdr:row>
      <xdr:rowOff>168088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0790BF62-181A-43D0-BC4A-47F6DBDEF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11531" y="3529853"/>
          <a:ext cx="1542256" cy="1781735"/>
        </a:xfrm>
        <a:prstGeom prst="rect">
          <a:avLst/>
        </a:prstGeom>
      </xdr:spPr>
    </xdr:pic>
    <xdr:clientData/>
  </xdr:twoCellAnchor>
  <xdr:twoCellAnchor>
    <xdr:from>
      <xdr:col>5</xdr:col>
      <xdr:colOff>156883</xdr:colOff>
      <xdr:row>13</xdr:row>
      <xdr:rowOff>134472</xdr:rowOff>
    </xdr:from>
    <xdr:to>
      <xdr:col>8</xdr:col>
      <xdr:colOff>22412</xdr:colOff>
      <xdr:row>15</xdr:row>
      <xdr:rowOff>145677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BBF08F0A-24BE-41ED-8C03-1BE24E684961}"/>
            </a:ext>
          </a:extLst>
        </xdr:cNvPr>
        <xdr:cNvSpPr txBox="1"/>
      </xdr:nvSpPr>
      <xdr:spPr>
        <a:xfrm>
          <a:off x="1157008" y="2610972"/>
          <a:ext cx="465604" cy="392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M1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168089</xdr:colOff>
      <xdr:row>13</xdr:row>
      <xdr:rowOff>134472</xdr:rowOff>
    </xdr:from>
    <xdr:to>
      <xdr:col>16</xdr:col>
      <xdr:colOff>33618</xdr:colOff>
      <xdr:row>15</xdr:row>
      <xdr:rowOff>145677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AC43CDDF-FE59-4857-AE44-A81844B7AC72}"/>
            </a:ext>
          </a:extLst>
        </xdr:cNvPr>
        <xdr:cNvSpPr txBox="1"/>
      </xdr:nvSpPr>
      <xdr:spPr>
        <a:xfrm>
          <a:off x="2768414" y="2610972"/>
          <a:ext cx="465604" cy="392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M2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30</xdr:col>
      <xdr:colOff>1</xdr:colOff>
      <xdr:row>33</xdr:row>
      <xdr:rowOff>0</xdr:rowOff>
    </xdr:from>
    <xdr:to>
      <xdr:col>36</xdr:col>
      <xdr:colOff>0</xdr:colOff>
      <xdr:row>37</xdr:row>
      <xdr:rowOff>0</xdr:rowOff>
    </xdr:to>
    <xdr:sp macro="" textlink="">
      <xdr:nvSpPr>
        <xdr:cNvPr id="36" name="フローチャート: 磁気ディスク 35">
          <a:extLst>
            <a:ext uri="{FF2B5EF4-FFF2-40B4-BE49-F238E27FC236}">
              <a16:creationId xmlns:a16="http://schemas.microsoft.com/office/drawing/2014/main" id="{D227327E-A36E-4D8D-9497-9B5D305F6DE0}"/>
            </a:ext>
          </a:extLst>
        </xdr:cNvPr>
        <xdr:cNvSpPr/>
      </xdr:nvSpPr>
      <xdr:spPr>
        <a:xfrm>
          <a:off x="5919108" y="6286500"/>
          <a:ext cx="1183821" cy="762000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STOP_LOG</a:t>
          </a:r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29215</xdr:colOff>
      <xdr:row>32</xdr:row>
      <xdr:rowOff>99653</xdr:rowOff>
    </xdr:from>
    <xdr:to>
      <xdr:col>34</xdr:col>
      <xdr:colOff>92047</xdr:colOff>
      <xdr:row>34</xdr:row>
      <xdr:rowOff>110858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099AEFBC-7E1C-4076-82A8-3719DB2C0FF9}"/>
            </a:ext>
          </a:extLst>
        </xdr:cNvPr>
        <xdr:cNvSpPr txBox="1"/>
      </xdr:nvSpPr>
      <xdr:spPr>
        <a:xfrm>
          <a:off x="6342929" y="6195653"/>
          <a:ext cx="457439" cy="392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T1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45</xdr:col>
      <xdr:colOff>0</xdr:colOff>
      <xdr:row>33</xdr:row>
      <xdr:rowOff>0</xdr:rowOff>
    </xdr:from>
    <xdr:to>
      <xdr:col>51</xdr:col>
      <xdr:colOff>1</xdr:colOff>
      <xdr:row>37</xdr:row>
      <xdr:rowOff>0</xdr:rowOff>
    </xdr:to>
    <xdr:sp macro="" textlink="">
      <xdr:nvSpPr>
        <xdr:cNvPr id="38" name="フローチャート: 磁気ディスク 37">
          <a:extLst>
            <a:ext uri="{FF2B5EF4-FFF2-40B4-BE49-F238E27FC236}">
              <a16:creationId xmlns:a16="http://schemas.microsoft.com/office/drawing/2014/main" id="{809793A1-1908-4A30-9A01-CF1E8EB15AC0}"/>
            </a:ext>
          </a:extLst>
        </xdr:cNvPr>
        <xdr:cNvSpPr/>
      </xdr:nvSpPr>
      <xdr:spPr>
        <a:xfrm>
          <a:off x="8878661" y="6286500"/>
          <a:ext cx="1183823" cy="762000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PROD_LOG</a:t>
          </a:r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16251</xdr:colOff>
      <xdr:row>62</xdr:row>
      <xdr:rowOff>11208</xdr:rowOff>
    </xdr:from>
    <xdr:to>
      <xdr:col>15</xdr:col>
      <xdr:colOff>95250</xdr:colOff>
      <xdr:row>62</xdr:row>
      <xdr:rowOff>183696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23FBA78D-B6EF-40F0-92C5-0EB1986DCD80}"/>
            </a:ext>
          </a:extLst>
        </xdr:cNvPr>
        <xdr:cNvSpPr txBox="1"/>
      </xdr:nvSpPr>
      <xdr:spPr>
        <a:xfrm>
          <a:off x="2581198" y="11822208"/>
          <a:ext cx="473606" cy="172488"/>
        </a:xfrm>
        <a:prstGeom prst="rect">
          <a:avLst/>
        </a:prstGeom>
        <a:solidFill>
          <a:srgbClr val="00B0F0">
            <a:alpha val="15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23</xdr:col>
      <xdr:colOff>112944</xdr:colOff>
      <xdr:row>57</xdr:row>
      <xdr:rowOff>138636</xdr:rowOff>
    </xdr:from>
    <xdr:to>
      <xdr:col>26</xdr:col>
      <xdr:colOff>13608</xdr:colOff>
      <xdr:row>58</xdr:row>
      <xdr:rowOff>142876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5EE865D6-4040-4991-B7AF-8C07B07FC4E5}"/>
            </a:ext>
          </a:extLst>
        </xdr:cNvPr>
        <xdr:cNvSpPr txBox="1"/>
      </xdr:nvSpPr>
      <xdr:spPr>
        <a:xfrm>
          <a:off x="4650927" y="10997136"/>
          <a:ext cx="492574" cy="194740"/>
        </a:xfrm>
        <a:prstGeom prst="rect">
          <a:avLst/>
        </a:prstGeom>
        <a:solidFill>
          <a:srgbClr val="00B0F0">
            <a:alpha val="15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7686</xdr:colOff>
      <xdr:row>66</xdr:row>
      <xdr:rowOff>54991</xdr:rowOff>
    </xdr:from>
    <xdr:to>
      <xdr:col>15</xdr:col>
      <xdr:colOff>197302</xdr:colOff>
      <xdr:row>67</xdr:row>
      <xdr:rowOff>54429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D0A3F3F4-E380-476E-AF92-0DB9F4F409A7}"/>
            </a:ext>
          </a:extLst>
        </xdr:cNvPr>
        <xdr:cNvSpPr txBox="1"/>
      </xdr:nvSpPr>
      <xdr:spPr>
        <a:xfrm>
          <a:off x="2572633" y="12627991"/>
          <a:ext cx="584223" cy="189938"/>
        </a:xfrm>
        <a:prstGeom prst="rect">
          <a:avLst/>
        </a:prstGeom>
        <a:solidFill>
          <a:srgbClr val="FF0000">
            <a:alpha val="15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23</xdr:col>
      <xdr:colOff>129430</xdr:colOff>
      <xdr:row>62</xdr:row>
      <xdr:rowOff>190102</xdr:rowOff>
    </xdr:from>
    <xdr:to>
      <xdr:col>26</xdr:col>
      <xdr:colOff>95249</xdr:colOff>
      <xdr:row>64</xdr:row>
      <xdr:rowOff>6804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2902613F-1AC2-43D0-AD47-BA8DBC86F626}"/>
            </a:ext>
          </a:extLst>
        </xdr:cNvPr>
        <xdr:cNvSpPr txBox="1"/>
      </xdr:nvSpPr>
      <xdr:spPr>
        <a:xfrm>
          <a:off x="4667413" y="12001102"/>
          <a:ext cx="557729" cy="197702"/>
        </a:xfrm>
        <a:prstGeom prst="rect">
          <a:avLst/>
        </a:prstGeom>
        <a:solidFill>
          <a:srgbClr val="FF0000">
            <a:alpha val="15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10249</xdr:colOff>
      <xdr:row>69</xdr:row>
      <xdr:rowOff>135593</xdr:rowOff>
    </xdr:from>
    <xdr:to>
      <xdr:col>15</xdr:col>
      <xdr:colOff>117902</xdr:colOff>
      <xdr:row>70</xdr:row>
      <xdr:rowOff>146797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3A81FC44-9079-4D8E-B7A3-1A779DD505F8}"/>
            </a:ext>
          </a:extLst>
        </xdr:cNvPr>
        <xdr:cNvSpPr txBox="1"/>
      </xdr:nvSpPr>
      <xdr:spPr>
        <a:xfrm>
          <a:off x="2575196" y="13280093"/>
          <a:ext cx="502260" cy="201704"/>
        </a:xfrm>
        <a:prstGeom prst="rect">
          <a:avLst/>
        </a:prstGeom>
        <a:solidFill>
          <a:srgbClr val="00B050">
            <a:alpha val="15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23</xdr:col>
      <xdr:colOff>109020</xdr:colOff>
      <xdr:row>75</xdr:row>
      <xdr:rowOff>13529</xdr:rowOff>
    </xdr:from>
    <xdr:to>
      <xdr:col>26</xdr:col>
      <xdr:colOff>22092</xdr:colOff>
      <xdr:row>76</xdr:row>
      <xdr:rowOff>24733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9531A7D9-1B75-4BCC-9AED-C0D5C73C5D12}"/>
            </a:ext>
          </a:extLst>
        </xdr:cNvPr>
        <xdr:cNvSpPr txBox="1"/>
      </xdr:nvSpPr>
      <xdr:spPr>
        <a:xfrm>
          <a:off x="4647003" y="14301029"/>
          <a:ext cx="504982" cy="201704"/>
        </a:xfrm>
        <a:prstGeom prst="rect">
          <a:avLst/>
        </a:prstGeom>
        <a:solidFill>
          <a:srgbClr val="7030A0">
            <a:alpha val="15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42026</xdr:colOff>
      <xdr:row>56</xdr:row>
      <xdr:rowOff>180816</xdr:rowOff>
    </xdr:from>
    <xdr:to>
      <xdr:col>5</xdr:col>
      <xdr:colOff>54427</xdr:colOff>
      <xdr:row>58</xdr:row>
      <xdr:rowOff>0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BAFAE017-FD74-44CF-917F-9EBBB97FD8E0}"/>
            </a:ext>
          </a:extLst>
        </xdr:cNvPr>
        <xdr:cNvSpPr txBox="1"/>
      </xdr:nvSpPr>
      <xdr:spPr>
        <a:xfrm>
          <a:off x="633937" y="10848816"/>
          <a:ext cx="407009" cy="200184"/>
        </a:xfrm>
        <a:prstGeom prst="rect">
          <a:avLst/>
        </a:prstGeom>
        <a:solidFill>
          <a:srgbClr val="00B050">
            <a:alpha val="15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178177</xdr:colOff>
      <xdr:row>3</xdr:row>
      <xdr:rowOff>0</xdr:rowOff>
    </xdr:from>
    <xdr:to>
      <xdr:col>57</xdr:col>
      <xdr:colOff>197826</xdr:colOff>
      <xdr:row>4</xdr:row>
      <xdr:rowOff>2197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BB757573-244D-4E82-8DF9-1F362B5E941A}"/>
            </a:ext>
          </a:extLst>
        </xdr:cNvPr>
        <xdr:cNvSpPr/>
      </xdr:nvSpPr>
      <xdr:spPr>
        <a:xfrm>
          <a:off x="11579602" y="571500"/>
          <a:ext cx="2619974" cy="192697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．</a:t>
          </a:r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Plod_log</a:t>
          </a:r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作成</a:t>
          </a:r>
        </a:p>
      </xdr:txBody>
    </xdr:sp>
    <xdr:clientData/>
  </xdr:twoCellAnchor>
  <xdr:twoCellAnchor>
    <xdr:from>
      <xdr:col>23</xdr:col>
      <xdr:colOff>115823</xdr:colOff>
      <xdr:row>76</xdr:row>
      <xdr:rowOff>123747</xdr:rowOff>
    </xdr:from>
    <xdr:to>
      <xdr:col>26</xdr:col>
      <xdr:colOff>28895</xdr:colOff>
      <xdr:row>77</xdr:row>
      <xdr:rowOff>134951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4247D666-9497-4CF5-8F18-4E506AF10411}"/>
            </a:ext>
          </a:extLst>
        </xdr:cNvPr>
        <xdr:cNvSpPr txBox="1"/>
      </xdr:nvSpPr>
      <xdr:spPr>
        <a:xfrm>
          <a:off x="4653806" y="14601747"/>
          <a:ext cx="504982" cy="201704"/>
        </a:xfrm>
        <a:prstGeom prst="rect">
          <a:avLst/>
        </a:prstGeom>
        <a:solidFill>
          <a:schemeClr val="accent4">
            <a:lumMod val="75000"/>
            <a:alpha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193385</xdr:colOff>
      <xdr:row>63</xdr:row>
      <xdr:rowOff>131910</xdr:rowOff>
    </xdr:from>
    <xdr:to>
      <xdr:col>15</xdr:col>
      <xdr:colOff>103734</xdr:colOff>
      <xdr:row>64</xdr:row>
      <xdr:rowOff>143114</xdr:rowOff>
    </xdr:to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2665BC52-E240-4EC6-BB1A-47D271F79086}"/>
            </a:ext>
          </a:extLst>
        </xdr:cNvPr>
        <xdr:cNvSpPr txBox="1"/>
      </xdr:nvSpPr>
      <xdr:spPr>
        <a:xfrm>
          <a:off x="2561028" y="12133410"/>
          <a:ext cx="502260" cy="201704"/>
        </a:xfrm>
        <a:prstGeom prst="rect">
          <a:avLst/>
        </a:prstGeom>
        <a:solidFill>
          <a:schemeClr val="accent4">
            <a:lumMod val="75000"/>
            <a:alpha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142875</xdr:colOff>
      <xdr:row>4</xdr:row>
      <xdr:rowOff>0</xdr:rowOff>
    </xdr:from>
    <xdr:to>
      <xdr:col>28</xdr:col>
      <xdr:colOff>28575</xdr:colOff>
      <xdr:row>6</xdr:row>
      <xdr:rowOff>0</xdr:rowOff>
    </xdr:to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3AB321E6-6E5D-47A5-9301-BB62B38D8B9B}"/>
            </a:ext>
          </a:extLst>
        </xdr:cNvPr>
        <xdr:cNvSpPr txBox="1"/>
      </xdr:nvSpPr>
      <xdr:spPr>
        <a:xfrm>
          <a:off x="3943350" y="762000"/>
          <a:ext cx="168592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SUPPLIER_MASTER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23</xdr:col>
      <xdr:colOff>0</xdr:colOff>
      <xdr:row>13</xdr:row>
      <xdr:rowOff>0</xdr:rowOff>
    </xdr:from>
    <xdr:to>
      <xdr:col>23</xdr:col>
      <xdr:colOff>0</xdr:colOff>
      <xdr:row>14</xdr:row>
      <xdr:rowOff>0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8B9DFE45-DB0A-4666-A69E-7A4CCFB3AB47}"/>
            </a:ext>
          </a:extLst>
        </xdr:cNvPr>
        <xdr:cNvCxnSpPr/>
      </xdr:nvCxnSpPr>
      <xdr:spPr>
        <a:xfrm>
          <a:off x="4600575" y="2476500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14</xdr:row>
      <xdr:rowOff>0</xdr:rowOff>
    </xdr:from>
    <xdr:to>
      <xdr:col>26</xdr:col>
      <xdr:colOff>1</xdr:colOff>
      <xdr:row>18</xdr:row>
      <xdr:rowOff>0</xdr:rowOff>
    </xdr:to>
    <xdr:sp macro="" textlink="">
      <xdr:nvSpPr>
        <xdr:cNvPr id="53" name="フローチャート: 磁気ディスク 52">
          <a:extLst>
            <a:ext uri="{FF2B5EF4-FFF2-40B4-BE49-F238E27FC236}">
              <a16:creationId xmlns:a16="http://schemas.microsoft.com/office/drawing/2014/main" id="{22A641B2-7F63-4E40-9C84-C9B1916214D2}"/>
            </a:ext>
          </a:extLst>
        </xdr:cNvPr>
        <xdr:cNvSpPr/>
      </xdr:nvSpPr>
      <xdr:spPr>
        <a:xfrm>
          <a:off x="4000500" y="2667000"/>
          <a:ext cx="1200151" cy="762000"/>
        </a:xfrm>
        <a:prstGeom prst="flowChartMagneticDisk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mst_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手配先</a:t>
          </a:r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26</xdr:col>
      <xdr:colOff>1</xdr:colOff>
      <xdr:row>13</xdr:row>
      <xdr:rowOff>0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4E2F61DD-9700-488E-8391-E17EC10BE827}"/>
            </a:ext>
          </a:extLst>
        </xdr:cNvPr>
        <xdr:cNvSpPr/>
      </xdr:nvSpPr>
      <xdr:spPr>
        <a:xfrm>
          <a:off x="4000500" y="2095500"/>
          <a:ext cx="1200151" cy="3810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取り込み</a:t>
          </a:r>
        </a:p>
      </xdr:txBody>
    </xdr:sp>
    <xdr:clientData/>
  </xdr:twoCellAnchor>
  <xdr:twoCellAnchor>
    <xdr:from>
      <xdr:col>23</xdr:col>
      <xdr:colOff>0</xdr:colOff>
      <xdr:row>10</xdr:row>
      <xdr:rowOff>0</xdr:rowOff>
    </xdr:from>
    <xdr:to>
      <xdr:col>23</xdr:col>
      <xdr:colOff>0</xdr:colOff>
      <xdr:row>11</xdr:row>
      <xdr:rowOff>0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3AC37B6A-9484-4124-B0A8-F587B89D5428}"/>
            </a:ext>
          </a:extLst>
        </xdr:cNvPr>
        <xdr:cNvCxnSpPr>
          <a:endCxn id="54" idx="0"/>
        </xdr:cNvCxnSpPr>
      </xdr:nvCxnSpPr>
      <xdr:spPr>
        <a:xfrm>
          <a:off x="4600575" y="1905000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168089</xdr:colOff>
      <xdr:row>13</xdr:row>
      <xdr:rowOff>134472</xdr:rowOff>
    </xdr:from>
    <xdr:to>
      <xdr:col>24</xdr:col>
      <xdr:colOff>33618</xdr:colOff>
      <xdr:row>15</xdr:row>
      <xdr:rowOff>145677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5D7C30AB-D9BB-4A3F-96E7-4F7E3CF3C86D}"/>
            </a:ext>
          </a:extLst>
        </xdr:cNvPr>
        <xdr:cNvSpPr txBox="1"/>
      </xdr:nvSpPr>
      <xdr:spPr>
        <a:xfrm>
          <a:off x="4368614" y="2610972"/>
          <a:ext cx="465604" cy="392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M3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21</xdr:col>
      <xdr:colOff>1</xdr:colOff>
      <xdr:row>18</xdr:row>
      <xdr:rowOff>152171</xdr:rowOff>
    </xdr:from>
    <xdr:to>
      <xdr:col>28</xdr:col>
      <xdr:colOff>104776</xdr:colOff>
      <xdr:row>22</xdr:row>
      <xdr:rowOff>75283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25D08120-9CF1-4CEE-B1FE-0F4C7F70A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00526" y="3581171"/>
          <a:ext cx="1504950" cy="685112"/>
        </a:xfrm>
        <a:prstGeom prst="rect">
          <a:avLst/>
        </a:prstGeom>
      </xdr:spPr>
    </xdr:pic>
    <xdr:clientData/>
  </xdr:twoCellAnchor>
  <xdr:twoCellAnchor>
    <xdr:from>
      <xdr:col>52</xdr:col>
      <xdr:colOff>79004</xdr:colOff>
      <xdr:row>14</xdr:row>
      <xdr:rowOff>0</xdr:rowOff>
    </xdr:from>
    <xdr:to>
      <xdr:col>58</xdr:col>
      <xdr:colOff>79005</xdr:colOff>
      <xdr:row>18</xdr:row>
      <xdr:rowOff>0</xdr:rowOff>
    </xdr:to>
    <xdr:sp macro="" textlink="">
      <xdr:nvSpPr>
        <xdr:cNvPr id="58" name="フローチャート: 磁気ディスク 57">
          <a:extLst>
            <a:ext uri="{FF2B5EF4-FFF2-40B4-BE49-F238E27FC236}">
              <a16:creationId xmlns:a16="http://schemas.microsoft.com/office/drawing/2014/main" id="{31220661-4025-4DA2-85A3-D55EAD38CA50}"/>
            </a:ext>
          </a:extLst>
        </xdr:cNvPr>
        <xdr:cNvSpPr/>
      </xdr:nvSpPr>
      <xdr:spPr>
        <a:xfrm>
          <a:off x="13080629" y="2667000"/>
          <a:ext cx="1200151" cy="762000"/>
        </a:xfrm>
        <a:prstGeom prst="flowChartMagneticDisk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mst_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ライン一覧</a:t>
          </a:r>
        </a:p>
      </xdr:txBody>
    </xdr:sp>
    <xdr:clientData/>
  </xdr:twoCellAnchor>
  <xdr:twoCellAnchor>
    <xdr:from>
      <xdr:col>37</xdr:col>
      <xdr:colOff>0</xdr:colOff>
      <xdr:row>14</xdr:row>
      <xdr:rowOff>0</xdr:rowOff>
    </xdr:from>
    <xdr:to>
      <xdr:col>43</xdr:col>
      <xdr:colOff>1</xdr:colOff>
      <xdr:row>18</xdr:row>
      <xdr:rowOff>0</xdr:rowOff>
    </xdr:to>
    <xdr:sp macro="" textlink="">
      <xdr:nvSpPr>
        <xdr:cNvPr id="59" name="フローチャート: 磁気ディスク 58">
          <a:extLst>
            <a:ext uri="{FF2B5EF4-FFF2-40B4-BE49-F238E27FC236}">
              <a16:creationId xmlns:a16="http://schemas.microsoft.com/office/drawing/2014/main" id="{136254DD-3BC2-4547-8961-052D266C0C0B}"/>
            </a:ext>
          </a:extLst>
        </xdr:cNvPr>
        <xdr:cNvSpPr/>
      </xdr:nvSpPr>
      <xdr:spPr>
        <a:xfrm>
          <a:off x="7400925" y="2667000"/>
          <a:ext cx="1200151" cy="762000"/>
        </a:xfrm>
        <a:prstGeom prst="flowChartMagneticDisk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mst_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ライン一覧</a:t>
          </a:r>
        </a:p>
      </xdr:txBody>
    </xdr:sp>
    <xdr:clientData/>
  </xdr:twoCellAnchor>
  <xdr:twoCellAnchor editAs="oneCell">
    <xdr:from>
      <xdr:col>54</xdr:col>
      <xdr:colOff>12329</xdr:colOff>
      <xdr:row>14</xdr:row>
      <xdr:rowOff>76200</xdr:rowOff>
    </xdr:from>
    <xdr:to>
      <xdr:col>56</xdr:col>
      <xdr:colOff>107648</xdr:colOff>
      <xdr:row>15</xdr:row>
      <xdr:rowOff>66702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id="{8D02888D-F15A-4037-9D33-E03DF4358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414004" y="2743200"/>
          <a:ext cx="495369" cy="18100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33</xdr:col>
      <xdr:colOff>-1</xdr:colOff>
      <xdr:row>18</xdr:row>
      <xdr:rowOff>0</xdr:rowOff>
    </xdr:from>
    <xdr:to>
      <xdr:col>33</xdr:col>
      <xdr:colOff>-1</xdr:colOff>
      <xdr:row>20</xdr:row>
      <xdr:rowOff>0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1E43D1D3-041B-405F-9409-7957CBA55573}"/>
            </a:ext>
          </a:extLst>
        </xdr:cNvPr>
        <xdr:cNvCxnSpPr>
          <a:stCxn id="7" idx="3"/>
          <a:endCxn id="65" idx="1"/>
        </xdr:cNvCxnSpPr>
      </xdr:nvCxnSpPr>
      <xdr:spPr>
        <a:xfrm>
          <a:off x="6511018" y="3429000"/>
          <a:ext cx="0" cy="3810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20</xdr:row>
      <xdr:rowOff>0</xdr:rowOff>
    </xdr:from>
    <xdr:to>
      <xdr:col>36</xdr:col>
      <xdr:colOff>0</xdr:colOff>
      <xdr:row>24</xdr:row>
      <xdr:rowOff>0</xdr:rowOff>
    </xdr:to>
    <xdr:sp macro="" textlink="">
      <xdr:nvSpPr>
        <xdr:cNvPr id="65" name="フローチャート: 磁気ディスク 64">
          <a:extLst>
            <a:ext uri="{FF2B5EF4-FFF2-40B4-BE49-F238E27FC236}">
              <a16:creationId xmlns:a16="http://schemas.microsoft.com/office/drawing/2014/main" id="{42059CFA-20BB-44D1-9921-EAC59099F974}"/>
            </a:ext>
          </a:extLst>
        </xdr:cNvPr>
        <xdr:cNvSpPr/>
      </xdr:nvSpPr>
      <xdr:spPr>
        <a:xfrm>
          <a:off x="5919107" y="3810000"/>
          <a:ext cx="1183822" cy="762000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STOP_LOG</a:t>
          </a:r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-1</xdr:colOff>
      <xdr:row>18</xdr:row>
      <xdr:rowOff>0</xdr:rowOff>
    </xdr:from>
    <xdr:to>
      <xdr:col>40</xdr:col>
      <xdr:colOff>1</xdr:colOff>
      <xdr:row>20</xdr:row>
      <xdr:rowOff>0</xdr:rowOff>
    </xdr:to>
    <xdr:cxnSp macro="">
      <xdr:nvCxnSpPr>
        <xdr:cNvPr id="66" name="コネクタ: カギ線 65">
          <a:extLst>
            <a:ext uri="{FF2B5EF4-FFF2-40B4-BE49-F238E27FC236}">
              <a16:creationId xmlns:a16="http://schemas.microsoft.com/office/drawing/2014/main" id="{E2002D52-EB1D-4587-BAEC-3C7A565EB790}"/>
            </a:ext>
          </a:extLst>
        </xdr:cNvPr>
        <xdr:cNvCxnSpPr>
          <a:stCxn id="59" idx="3"/>
          <a:endCxn id="65" idx="1"/>
        </xdr:cNvCxnSpPr>
      </xdr:nvCxnSpPr>
      <xdr:spPr>
        <a:xfrm rot="5400000">
          <a:off x="7011081" y="2928937"/>
          <a:ext cx="381000" cy="1381126"/>
        </a:xfrm>
        <a:prstGeom prst="bentConnector3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</xdr:colOff>
      <xdr:row>18</xdr:row>
      <xdr:rowOff>1</xdr:rowOff>
    </xdr:from>
    <xdr:to>
      <xdr:col>55</xdr:col>
      <xdr:colOff>79004</xdr:colOff>
      <xdr:row>20</xdr:row>
      <xdr:rowOff>1</xdr:rowOff>
    </xdr:to>
    <xdr:cxnSp macro="">
      <xdr:nvCxnSpPr>
        <xdr:cNvPr id="71" name="コネクタ: カギ線 70">
          <a:extLst>
            <a:ext uri="{FF2B5EF4-FFF2-40B4-BE49-F238E27FC236}">
              <a16:creationId xmlns:a16="http://schemas.microsoft.com/office/drawing/2014/main" id="{4D70F178-73F3-4BC0-ADCA-ED1BF4A27664}"/>
            </a:ext>
          </a:extLst>
        </xdr:cNvPr>
        <xdr:cNvCxnSpPr>
          <a:stCxn id="58" idx="3"/>
          <a:endCxn id="72" idx="1"/>
        </xdr:cNvCxnSpPr>
      </xdr:nvCxnSpPr>
      <xdr:spPr>
        <a:xfrm rot="5400000">
          <a:off x="10010137" y="2889436"/>
          <a:ext cx="381000" cy="1460129"/>
        </a:xfrm>
        <a:prstGeom prst="bentConnector3">
          <a:avLst>
            <a:gd name="adj1" fmla="val 50000"/>
          </a:avLst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197303</xdr:colOff>
      <xdr:row>20</xdr:row>
      <xdr:rowOff>0</xdr:rowOff>
    </xdr:from>
    <xdr:to>
      <xdr:col>51</xdr:col>
      <xdr:colOff>0</xdr:colOff>
      <xdr:row>24</xdr:row>
      <xdr:rowOff>0</xdr:rowOff>
    </xdr:to>
    <xdr:sp macro="" textlink="">
      <xdr:nvSpPr>
        <xdr:cNvPr id="72" name="フローチャート: 磁気ディスク 71">
          <a:extLst>
            <a:ext uri="{FF2B5EF4-FFF2-40B4-BE49-F238E27FC236}">
              <a16:creationId xmlns:a16="http://schemas.microsoft.com/office/drawing/2014/main" id="{CFD6C6F9-6268-403F-AD70-1B6CD3969CCF}"/>
            </a:ext>
          </a:extLst>
        </xdr:cNvPr>
        <xdr:cNvSpPr/>
      </xdr:nvSpPr>
      <xdr:spPr>
        <a:xfrm>
          <a:off x="8878660" y="3810000"/>
          <a:ext cx="1183823" cy="762000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PROD_LOG</a:t>
          </a:r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1</xdr:colOff>
      <xdr:row>18</xdr:row>
      <xdr:rowOff>0</xdr:rowOff>
    </xdr:from>
    <xdr:to>
      <xdr:col>48</xdr:col>
      <xdr:colOff>2</xdr:colOff>
      <xdr:row>20</xdr:row>
      <xdr:rowOff>0</xdr:rowOff>
    </xdr:to>
    <xdr:cxnSp macro="">
      <xdr:nvCxnSpPr>
        <xdr:cNvPr id="73" name="直線矢印コネクタ 72">
          <a:extLst>
            <a:ext uri="{FF2B5EF4-FFF2-40B4-BE49-F238E27FC236}">
              <a16:creationId xmlns:a16="http://schemas.microsoft.com/office/drawing/2014/main" id="{485BF889-9E5B-4E70-AB36-D9F4738C4C58}"/>
            </a:ext>
          </a:extLst>
        </xdr:cNvPr>
        <xdr:cNvCxnSpPr>
          <a:stCxn id="13" idx="3"/>
          <a:endCxn id="72" idx="1"/>
        </xdr:cNvCxnSpPr>
      </xdr:nvCxnSpPr>
      <xdr:spPr>
        <a:xfrm flipH="1">
          <a:off x="9470572" y="3429000"/>
          <a:ext cx="1" cy="3810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47</xdr:col>
      <xdr:colOff>35782</xdr:colOff>
      <xdr:row>32</xdr:row>
      <xdr:rowOff>102454</xdr:rowOff>
    </xdr:from>
    <xdr:to>
      <xdr:col>49</xdr:col>
      <xdr:colOff>103015</xdr:colOff>
      <xdr:row>34</xdr:row>
      <xdr:rowOff>113659</xdr:rowOff>
    </xdr:to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FA517565-9224-46FB-8533-21DB562489D7}"/>
            </a:ext>
          </a:extLst>
        </xdr:cNvPr>
        <xdr:cNvSpPr txBox="1"/>
      </xdr:nvSpPr>
      <xdr:spPr>
        <a:xfrm>
          <a:off x="9309051" y="6198454"/>
          <a:ext cx="461840" cy="392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T2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58</xdr:col>
      <xdr:colOff>156882</xdr:colOff>
      <xdr:row>14</xdr:row>
      <xdr:rowOff>33616</xdr:rowOff>
    </xdr:from>
    <xdr:to>
      <xdr:col>69</xdr:col>
      <xdr:colOff>179294</xdr:colOff>
      <xdr:row>16</xdr:row>
      <xdr:rowOff>33616</xdr:rowOff>
    </xdr:to>
    <xdr:sp macro="" textlink="">
      <xdr:nvSpPr>
        <xdr:cNvPr id="80" name="吹き出し: 四角形 79">
          <a:extLst>
            <a:ext uri="{FF2B5EF4-FFF2-40B4-BE49-F238E27FC236}">
              <a16:creationId xmlns:a16="http://schemas.microsoft.com/office/drawing/2014/main" id="{94CF841A-6A67-4A89-BBC5-F53882083255}"/>
            </a:ext>
          </a:extLst>
        </xdr:cNvPr>
        <xdr:cNvSpPr/>
      </xdr:nvSpPr>
      <xdr:spPr>
        <a:xfrm>
          <a:off x="14358657" y="2700616"/>
          <a:ext cx="2222687" cy="381000"/>
        </a:xfrm>
        <a:prstGeom prst="wedgeRectCallout">
          <a:avLst>
            <a:gd name="adj1" fmla="val -64092"/>
            <a:gd name="adj2" fmla="val 16346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FH/NCB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を絞り込む為製品型追加</a:t>
          </a:r>
        </a:p>
      </xdr:txBody>
    </xdr:sp>
    <xdr:clientData/>
  </xdr:twoCellAnchor>
  <xdr:twoCellAnchor editAs="oneCell">
    <xdr:from>
      <xdr:col>38</xdr:col>
      <xdr:colOff>182419</xdr:colOff>
      <xdr:row>14</xdr:row>
      <xdr:rowOff>76200</xdr:rowOff>
    </xdr:from>
    <xdr:to>
      <xdr:col>41</xdr:col>
      <xdr:colOff>80434</xdr:colOff>
      <xdr:row>15</xdr:row>
      <xdr:rowOff>66702</xdr:rowOff>
    </xdr:to>
    <xdr:pic>
      <xdr:nvPicPr>
        <xdr:cNvPr id="81" name="図 80">
          <a:extLst>
            <a:ext uri="{FF2B5EF4-FFF2-40B4-BE49-F238E27FC236}">
              <a16:creationId xmlns:a16="http://schemas.microsoft.com/office/drawing/2014/main" id="{46BC8259-46F6-CE26-F6D0-C2EEB45B8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79955" y="2743200"/>
          <a:ext cx="489926" cy="18100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33</xdr:col>
      <xdr:colOff>-1</xdr:colOff>
      <xdr:row>24</xdr:row>
      <xdr:rowOff>0</xdr:rowOff>
    </xdr:from>
    <xdr:to>
      <xdr:col>33</xdr:col>
      <xdr:colOff>0</xdr:colOff>
      <xdr:row>33</xdr:row>
      <xdr:rowOff>0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4B4B4F44-6CD4-490F-6C7E-AAF79522BF62}"/>
            </a:ext>
          </a:extLst>
        </xdr:cNvPr>
        <xdr:cNvCxnSpPr>
          <a:stCxn id="65" idx="3"/>
          <a:endCxn id="36" idx="1"/>
        </xdr:cNvCxnSpPr>
      </xdr:nvCxnSpPr>
      <xdr:spPr>
        <a:xfrm>
          <a:off x="6511018" y="4572000"/>
          <a:ext cx="1" cy="1714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</xdr:colOff>
      <xdr:row>24</xdr:row>
      <xdr:rowOff>0</xdr:rowOff>
    </xdr:from>
    <xdr:to>
      <xdr:col>48</xdr:col>
      <xdr:colOff>2</xdr:colOff>
      <xdr:row>33</xdr:row>
      <xdr:rowOff>0</xdr:rowOff>
    </xdr:to>
    <xdr:cxnSp macro="">
      <xdr:nvCxnSpPr>
        <xdr:cNvPr id="95" name="直線矢印コネクタ 94">
          <a:extLst>
            <a:ext uri="{FF2B5EF4-FFF2-40B4-BE49-F238E27FC236}">
              <a16:creationId xmlns:a16="http://schemas.microsoft.com/office/drawing/2014/main" id="{1216F362-1118-EAF0-ABB6-3E9648EDE350}"/>
            </a:ext>
          </a:extLst>
        </xdr:cNvPr>
        <xdr:cNvCxnSpPr>
          <a:stCxn id="72" idx="3"/>
          <a:endCxn id="38" idx="1"/>
        </xdr:cNvCxnSpPr>
      </xdr:nvCxnSpPr>
      <xdr:spPr>
        <a:xfrm>
          <a:off x="9470572" y="4572000"/>
          <a:ext cx="1" cy="1714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20811</xdr:colOff>
      <xdr:row>8</xdr:row>
      <xdr:rowOff>122063</xdr:rowOff>
    </xdr:from>
    <xdr:to>
      <xdr:col>46</xdr:col>
      <xdr:colOff>43225</xdr:colOff>
      <xdr:row>10</xdr:row>
      <xdr:rowOff>122063</xdr:rowOff>
    </xdr:to>
    <xdr:sp macro="" textlink="">
      <xdr:nvSpPr>
        <xdr:cNvPr id="99" name="吹き出し: 四角形 98">
          <a:extLst>
            <a:ext uri="{FF2B5EF4-FFF2-40B4-BE49-F238E27FC236}">
              <a16:creationId xmlns:a16="http://schemas.microsoft.com/office/drawing/2014/main" id="{7D73E7EF-29E1-072B-1822-2EC8547EBADA}"/>
            </a:ext>
          </a:extLst>
        </xdr:cNvPr>
        <xdr:cNvSpPr/>
      </xdr:nvSpPr>
      <xdr:spPr>
        <a:xfrm>
          <a:off x="6926437" y="1646063"/>
          <a:ext cx="2192752" cy="381000"/>
        </a:xfrm>
        <a:prstGeom prst="wedgeRectCallout">
          <a:avLst>
            <a:gd name="adj1" fmla="val -14759"/>
            <a:gd name="adj2" fmla="val 160989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FH/NCB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を絞り込む為製品型追加</a:t>
          </a:r>
        </a:p>
      </xdr:txBody>
    </xdr:sp>
    <xdr:clientData/>
  </xdr:twoCellAnchor>
  <xdr:twoCellAnchor>
    <xdr:from>
      <xdr:col>35</xdr:col>
      <xdr:colOff>84526</xdr:colOff>
      <xdr:row>65</xdr:row>
      <xdr:rowOff>84286</xdr:rowOff>
    </xdr:from>
    <xdr:to>
      <xdr:col>37</xdr:col>
      <xdr:colOff>194901</xdr:colOff>
      <xdr:row>66</xdr:row>
      <xdr:rowOff>95490</xdr:rowOff>
    </xdr:to>
    <xdr:sp macro="" textlink="">
      <xdr:nvSpPr>
        <xdr:cNvPr id="100" name="テキスト ボックス 99">
          <a:extLst>
            <a:ext uri="{FF2B5EF4-FFF2-40B4-BE49-F238E27FC236}">
              <a16:creationId xmlns:a16="http://schemas.microsoft.com/office/drawing/2014/main" id="{7FD9A5CC-1A64-4CFF-B324-ED203EAD5154}"/>
            </a:ext>
          </a:extLst>
        </xdr:cNvPr>
        <xdr:cNvSpPr txBox="1"/>
      </xdr:nvSpPr>
      <xdr:spPr>
        <a:xfrm>
          <a:off x="6990152" y="12466786"/>
          <a:ext cx="504982" cy="201704"/>
        </a:xfrm>
        <a:prstGeom prst="rect">
          <a:avLst/>
        </a:prstGeom>
        <a:solidFill>
          <a:srgbClr val="7030A0">
            <a:alpha val="15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35</xdr:col>
      <xdr:colOff>82524</xdr:colOff>
      <xdr:row>69</xdr:row>
      <xdr:rowOff>157045</xdr:rowOff>
    </xdr:from>
    <xdr:to>
      <xdr:col>38</xdr:col>
      <xdr:colOff>74837</xdr:colOff>
      <xdr:row>70</xdr:row>
      <xdr:rowOff>156483</xdr:rowOff>
    </xdr:to>
    <xdr:sp macro="" textlink="">
      <xdr:nvSpPr>
        <xdr:cNvPr id="101" name="テキスト ボックス 100">
          <a:extLst>
            <a:ext uri="{FF2B5EF4-FFF2-40B4-BE49-F238E27FC236}">
              <a16:creationId xmlns:a16="http://schemas.microsoft.com/office/drawing/2014/main" id="{B2B23851-822F-CEE8-FDD1-DD6FF51CF90C}"/>
            </a:ext>
          </a:extLst>
        </xdr:cNvPr>
        <xdr:cNvSpPr txBox="1"/>
      </xdr:nvSpPr>
      <xdr:spPr>
        <a:xfrm>
          <a:off x="6988150" y="13301545"/>
          <a:ext cx="584223" cy="189938"/>
        </a:xfrm>
        <a:prstGeom prst="rect">
          <a:avLst/>
        </a:prstGeom>
        <a:solidFill>
          <a:srgbClr val="FF0000">
            <a:alpha val="15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C8B22-8B3E-4092-B6D2-BFCB1BDC6AC0}">
  <sheetPr>
    <pageSetUpPr fitToPage="1"/>
  </sheetPr>
  <dimension ref="A1:AD149"/>
  <sheetViews>
    <sheetView showGridLines="0" tabSelected="1" zoomScale="70" zoomScaleNormal="70" workbookViewId="0"/>
  </sheetViews>
  <sheetFormatPr defaultColWidth="3.125" defaultRowHeight="15"/>
  <cols>
    <col min="1" max="16384" width="3.125" style="1"/>
  </cols>
  <sheetData>
    <row r="1" spans="1:14" ht="22.15">
      <c r="A1" s="43" t="s">
        <v>188</v>
      </c>
    </row>
    <row r="3" spans="1:14">
      <c r="B3" s="1" t="s">
        <v>100</v>
      </c>
    </row>
    <row r="4" spans="1:14">
      <c r="C4" s="1" t="s">
        <v>101</v>
      </c>
    </row>
    <row r="6" spans="1:14">
      <c r="B6" s="1" t="s">
        <v>104</v>
      </c>
    </row>
    <row r="7" spans="1:14">
      <c r="C7" s="22" t="s">
        <v>5</v>
      </c>
      <c r="D7" s="45" t="s">
        <v>6</v>
      </c>
      <c r="E7" s="46"/>
      <c r="F7" s="46"/>
      <c r="G7" s="46"/>
      <c r="H7" s="46"/>
      <c r="I7" s="46"/>
      <c r="J7" s="46"/>
      <c r="K7" s="46"/>
      <c r="L7" s="46"/>
      <c r="M7" s="46"/>
      <c r="N7" s="47"/>
    </row>
    <row r="8" spans="1:14">
      <c r="C8" s="23">
        <v>1</v>
      </c>
      <c r="D8" s="2" t="s">
        <v>139</v>
      </c>
      <c r="E8" s="3"/>
      <c r="F8" s="3"/>
      <c r="G8" s="3"/>
      <c r="H8" s="3"/>
      <c r="I8" s="3"/>
      <c r="J8" s="3"/>
      <c r="K8" s="3"/>
      <c r="L8" s="3"/>
      <c r="M8" s="3"/>
      <c r="N8" s="4"/>
    </row>
    <row r="9" spans="1:14">
      <c r="C9" s="23">
        <v>2</v>
      </c>
      <c r="D9" s="2" t="s">
        <v>140</v>
      </c>
      <c r="E9" s="3"/>
      <c r="F9" s="3"/>
      <c r="G9" s="3"/>
      <c r="H9" s="3"/>
      <c r="I9" s="3"/>
      <c r="J9" s="3"/>
      <c r="K9" s="3"/>
      <c r="L9" s="3"/>
      <c r="M9" s="3"/>
      <c r="N9" s="4"/>
    </row>
    <row r="10" spans="1:14">
      <c r="C10" s="23">
        <v>3</v>
      </c>
      <c r="D10" s="2" t="s">
        <v>141</v>
      </c>
      <c r="E10" s="3"/>
      <c r="F10" s="3"/>
      <c r="G10" s="3"/>
      <c r="H10" s="3"/>
      <c r="I10" s="3"/>
      <c r="J10" s="3"/>
      <c r="K10" s="3"/>
      <c r="L10" s="3"/>
      <c r="M10" s="3"/>
      <c r="N10" s="4"/>
    </row>
    <row r="12" spans="1:14">
      <c r="B12" s="1" t="s">
        <v>105</v>
      </c>
    </row>
    <row r="13" spans="1:14">
      <c r="C13" s="1" t="s">
        <v>189</v>
      </c>
    </row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5" spans="3:30">
      <c r="D35" s="24" t="s">
        <v>5</v>
      </c>
      <c r="E35" s="8" t="s">
        <v>74</v>
      </c>
      <c r="F35" s="9"/>
      <c r="G35" s="9"/>
      <c r="H35" s="9"/>
      <c r="I35" s="9"/>
      <c r="J35" s="9"/>
      <c r="K35" s="10"/>
      <c r="L35" s="8" t="s">
        <v>75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0"/>
    </row>
    <row r="36" spans="3:30">
      <c r="D36" s="23">
        <v>1</v>
      </c>
      <c r="E36" s="2" t="s">
        <v>102</v>
      </c>
      <c r="F36" s="3"/>
      <c r="G36" s="3"/>
      <c r="H36" s="3"/>
      <c r="I36" s="3"/>
      <c r="J36" s="3"/>
      <c r="K36" s="4"/>
      <c r="L36" s="2" t="s">
        <v>103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4"/>
    </row>
    <row r="37" spans="3:30">
      <c r="D37" s="44">
        <v>2</v>
      </c>
      <c r="E37" s="12" t="s">
        <v>137</v>
      </c>
      <c r="F37" s="12"/>
      <c r="G37" s="12"/>
      <c r="H37" s="12"/>
      <c r="I37" s="12"/>
      <c r="J37" s="12"/>
      <c r="K37" s="13"/>
      <c r="L37" s="11" t="s">
        <v>191</v>
      </c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3"/>
    </row>
    <row r="38" spans="3:30">
      <c r="D38" s="23">
        <v>3</v>
      </c>
      <c r="E38" s="12" t="s">
        <v>138</v>
      </c>
      <c r="F38" s="12"/>
      <c r="G38" s="12"/>
      <c r="H38" s="12"/>
      <c r="I38" s="12"/>
      <c r="J38" s="12"/>
      <c r="K38" s="13"/>
      <c r="L38" s="11" t="s">
        <v>192</v>
      </c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3"/>
    </row>
    <row r="39" spans="3:30">
      <c r="D39" s="44">
        <v>4</v>
      </c>
      <c r="E39" s="2" t="s">
        <v>190</v>
      </c>
      <c r="F39" s="3"/>
      <c r="G39" s="3"/>
      <c r="H39" s="3"/>
      <c r="I39" s="3"/>
      <c r="J39" s="3"/>
      <c r="K39" s="4"/>
      <c r="L39" s="11" t="s">
        <v>193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4"/>
    </row>
    <row r="40" spans="3:30">
      <c r="D40" s="23">
        <v>5</v>
      </c>
      <c r="E40" s="2" t="s">
        <v>76</v>
      </c>
      <c r="F40" s="3"/>
      <c r="G40" s="3"/>
      <c r="H40" s="3"/>
      <c r="I40" s="3"/>
      <c r="J40" s="3"/>
      <c r="K40" s="4"/>
      <c r="L40" s="2" t="s">
        <v>77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4"/>
    </row>
    <row r="42" spans="3:30">
      <c r="C42" s="1" t="s">
        <v>140</v>
      </c>
    </row>
    <row r="64" spans="4:30">
      <c r="D64" s="24" t="s">
        <v>5</v>
      </c>
      <c r="E64" s="8" t="s">
        <v>74</v>
      </c>
      <c r="F64" s="9"/>
      <c r="G64" s="9"/>
      <c r="H64" s="9"/>
      <c r="I64" s="9"/>
      <c r="J64" s="9"/>
      <c r="K64" s="10"/>
      <c r="L64" s="8" t="s">
        <v>75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10"/>
    </row>
    <row r="65" spans="3:30">
      <c r="D65" s="23">
        <v>1</v>
      </c>
      <c r="E65" s="2" t="s">
        <v>102</v>
      </c>
      <c r="F65" s="3"/>
      <c r="G65" s="3"/>
      <c r="H65" s="3"/>
      <c r="I65" s="3"/>
      <c r="J65" s="3"/>
      <c r="K65" s="4"/>
      <c r="L65" s="2" t="s">
        <v>103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4"/>
    </row>
    <row r="66" spans="3:30">
      <c r="D66" s="44">
        <v>2</v>
      </c>
      <c r="E66" s="12" t="s">
        <v>175</v>
      </c>
      <c r="F66" s="12"/>
      <c r="G66" s="12"/>
      <c r="H66" s="12"/>
      <c r="I66" s="12"/>
      <c r="J66" s="12"/>
      <c r="K66" s="13"/>
      <c r="L66" s="11" t="s">
        <v>194</v>
      </c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3"/>
    </row>
    <row r="67" spans="3:30">
      <c r="D67" s="23">
        <v>3</v>
      </c>
      <c r="E67" s="2" t="s">
        <v>76</v>
      </c>
      <c r="F67" s="3"/>
      <c r="G67" s="3"/>
      <c r="H67" s="3"/>
      <c r="I67" s="3"/>
      <c r="J67" s="3"/>
      <c r="K67" s="4"/>
      <c r="L67" s="11" t="s">
        <v>195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4"/>
    </row>
    <row r="68" spans="3:30">
      <c r="D68" s="23">
        <v>4</v>
      </c>
      <c r="E68" s="2" t="s">
        <v>196</v>
      </c>
      <c r="F68" s="3"/>
      <c r="G68" s="3"/>
      <c r="H68" s="3"/>
      <c r="I68" s="3"/>
      <c r="J68" s="3"/>
      <c r="K68" s="4"/>
      <c r="L68" s="2" t="s">
        <v>197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4"/>
    </row>
    <row r="70" spans="3:30">
      <c r="C70" s="1" t="s">
        <v>141</v>
      </c>
    </row>
    <row r="92" spans="4:30">
      <c r="D92" s="24" t="s">
        <v>5</v>
      </c>
      <c r="E92" s="8" t="s">
        <v>74</v>
      </c>
      <c r="F92" s="9"/>
      <c r="G92" s="9"/>
      <c r="H92" s="9"/>
      <c r="I92" s="9"/>
      <c r="J92" s="9"/>
      <c r="K92" s="10"/>
      <c r="L92" s="8" t="s">
        <v>75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10"/>
    </row>
    <row r="93" spans="4:30">
      <c r="D93" s="23">
        <v>1</v>
      </c>
      <c r="E93" s="2" t="s">
        <v>102</v>
      </c>
      <c r="F93" s="3"/>
      <c r="G93" s="3"/>
      <c r="H93" s="3"/>
      <c r="I93" s="3"/>
      <c r="J93" s="3"/>
      <c r="K93" s="4"/>
      <c r="L93" s="2" t="s">
        <v>103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4"/>
    </row>
    <row r="94" spans="4:30">
      <c r="D94" s="23">
        <v>2</v>
      </c>
      <c r="E94" s="3" t="s">
        <v>137</v>
      </c>
      <c r="F94" s="3"/>
      <c r="G94" s="3"/>
      <c r="H94" s="3"/>
      <c r="I94" s="3"/>
      <c r="J94" s="3"/>
      <c r="K94" s="4"/>
      <c r="L94" s="2" t="s">
        <v>199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4"/>
    </row>
    <row r="95" spans="4:30">
      <c r="D95" s="23">
        <v>3</v>
      </c>
      <c r="E95" s="3" t="s">
        <v>138</v>
      </c>
      <c r="F95" s="3"/>
      <c r="G95" s="3"/>
      <c r="H95" s="3"/>
      <c r="I95" s="3"/>
      <c r="J95" s="3"/>
      <c r="K95" s="4"/>
      <c r="L95" s="2" t="s">
        <v>200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4"/>
    </row>
    <row r="96" spans="4:30">
      <c r="D96" s="23">
        <v>4</v>
      </c>
      <c r="E96" s="2" t="s">
        <v>198</v>
      </c>
      <c r="F96" s="3"/>
      <c r="G96" s="3"/>
      <c r="H96" s="3"/>
      <c r="I96" s="3"/>
      <c r="J96" s="3"/>
      <c r="K96" s="4"/>
      <c r="L96" s="2" t="s">
        <v>201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4"/>
    </row>
    <row r="97" spans="2:30">
      <c r="D97" s="23">
        <v>5</v>
      </c>
      <c r="E97" s="2" t="s">
        <v>43</v>
      </c>
      <c r="F97" s="3"/>
      <c r="G97" s="3"/>
      <c r="H97" s="3"/>
      <c r="I97" s="3"/>
      <c r="J97" s="3"/>
      <c r="K97" s="4"/>
      <c r="L97" s="2" t="s">
        <v>202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4"/>
    </row>
    <row r="98" spans="2:30">
      <c r="D98" s="23">
        <v>6</v>
      </c>
      <c r="E98" s="2" t="s">
        <v>203</v>
      </c>
      <c r="F98" s="3"/>
      <c r="G98" s="3"/>
      <c r="H98" s="3"/>
      <c r="I98" s="3"/>
      <c r="J98" s="3"/>
      <c r="K98" s="4"/>
      <c r="L98" s="2" t="s">
        <v>206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4"/>
    </row>
    <row r="99" spans="2:30">
      <c r="D99" s="23">
        <v>7</v>
      </c>
      <c r="E99" s="2" t="s">
        <v>71</v>
      </c>
      <c r="F99" s="3"/>
      <c r="G99" s="3"/>
      <c r="H99" s="3"/>
      <c r="I99" s="3"/>
      <c r="J99" s="3"/>
      <c r="K99" s="4"/>
      <c r="L99" s="2" t="s">
        <v>207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4"/>
    </row>
    <row r="100" spans="2:30">
      <c r="D100" s="23">
        <v>8</v>
      </c>
      <c r="E100" s="2" t="s">
        <v>78</v>
      </c>
      <c r="F100" s="3"/>
      <c r="G100" s="3"/>
      <c r="H100" s="3"/>
      <c r="I100" s="3"/>
      <c r="J100" s="3"/>
      <c r="K100" s="4"/>
      <c r="L100" s="2" t="s">
        <v>208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4"/>
    </row>
    <row r="101" spans="2:30">
      <c r="D101" s="23">
        <v>9</v>
      </c>
      <c r="E101" s="2" t="s">
        <v>204</v>
      </c>
      <c r="F101" s="3"/>
      <c r="G101" s="3"/>
      <c r="H101" s="3"/>
      <c r="I101" s="3"/>
      <c r="J101" s="3"/>
      <c r="K101" s="4"/>
      <c r="L101" s="2" t="s">
        <v>209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4"/>
    </row>
    <row r="102" spans="2:30">
      <c r="D102" s="23">
        <v>10</v>
      </c>
      <c r="E102" s="2" t="s">
        <v>205</v>
      </c>
      <c r="F102" s="3"/>
      <c r="G102" s="3"/>
      <c r="H102" s="3"/>
      <c r="I102" s="3"/>
      <c r="J102" s="3"/>
      <c r="K102" s="4"/>
      <c r="L102" s="2" t="s">
        <v>210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4"/>
    </row>
    <row r="105" spans="2:30">
      <c r="B105" s="1" t="s">
        <v>98</v>
      </c>
    </row>
    <row r="106" spans="2:30">
      <c r="C106" s="1" t="s">
        <v>109</v>
      </c>
    </row>
    <row r="107" spans="2:30">
      <c r="D107" s="1" t="s">
        <v>111</v>
      </c>
    </row>
    <row r="108" spans="2:30">
      <c r="D108" s="1" t="s">
        <v>112</v>
      </c>
    </row>
    <row r="110" spans="2:30">
      <c r="D110" s="1" t="s">
        <v>106</v>
      </c>
    </row>
    <row r="111" spans="2:30">
      <c r="D111" s="8" t="s">
        <v>70</v>
      </c>
      <c r="E111" s="48"/>
      <c r="F111" s="48"/>
      <c r="G111" s="48"/>
      <c r="H111" s="48"/>
      <c r="I111" s="49"/>
      <c r="J111" s="8" t="s">
        <v>107</v>
      </c>
      <c r="K111" s="48"/>
      <c r="L111" s="48"/>
      <c r="M111" s="49"/>
      <c r="N111" s="8" t="s">
        <v>108</v>
      </c>
      <c r="O111" s="48"/>
      <c r="P111" s="48"/>
      <c r="Q111" s="48"/>
      <c r="R111" s="48"/>
      <c r="S111" s="49"/>
    </row>
    <row r="112" spans="2:30">
      <c r="D112" s="50">
        <v>45748.333344907405</v>
      </c>
      <c r="E112" s="51"/>
      <c r="F112" s="51"/>
      <c r="G112" s="51"/>
      <c r="H112" s="51"/>
      <c r="I112" s="52"/>
      <c r="J112" s="53">
        <v>45748</v>
      </c>
      <c r="K112" s="51"/>
      <c r="L112" s="51"/>
      <c r="M112" s="52"/>
      <c r="N112" s="59" t="s">
        <v>110</v>
      </c>
      <c r="O112" s="60"/>
      <c r="P112" s="60"/>
      <c r="Q112" s="60"/>
      <c r="R112" s="60"/>
      <c r="S112" s="61"/>
    </row>
    <row r="113" spans="4:19">
      <c r="D113" s="66">
        <v>45748.375</v>
      </c>
      <c r="E113" s="67"/>
      <c r="F113" s="67"/>
      <c r="G113" s="67"/>
      <c r="H113" s="67"/>
      <c r="I113" s="68"/>
      <c r="J113" s="53">
        <v>45748</v>
      </c>
      <c r="K113" s="51"/>
      <c r="L113" s="51"/>
      <c r="M113" s="52"/>
      <c r="N113" s="66">
        <v>45748.333333333336</v>
      </c>
      <c r="O113" s="67"/>
      <c r="P113" s="67"/>
      <c r="Q113" s="67"/>
      <c r="R113" s="67"/>
      <c r="S113" s="68"/>
    </row>
    <row r="114" spans="4:19">
      <c r="D114" s="50">
        <v>45748.416666666664</v>
      </c>
      <c r="E114" s="51"/>
      <c r="F114" s="51"/>
      <c r="G114" s="51"/>
      <c r="H114" s="51"/>
      <c r="I114" s="52"/>
      <c r="J114" s="53">
        <v>45748</v>
      </c>
      <c r="K114" s="51"/>
      <c r="L114" s="51"/>
      <c r="M114" s="52"/>
      <c r="N114" s="50">
        <v>45748.375</v>
      </c>
      <c r="O114" s="51"/>
      <c r="P114" s="51"/>
      <c r="Q114" s="51"/>
      <c r="R114" s="51"/>
      <c r="S114" s="52"/>
    </row>
    <row r="115" spans="4:19">
      <c r="D115" s="50">
        <v>45748.45833321759</v>
      </c>
      <c r="E115" s="51"/>
      <c r="F115" s="51"/>
      <c r="G115" s="51"/>
      <c r="H115" s="51"/>
      <c r="I115" s="52"/>
      <c r="J115" s="53">
        <v>45748</v>
      </c>
      <c r="K115" s="51"/>
      <c r="L115" s="51"/>
      <c r="M115" s="52"/>
      <c r="N115" s="50">
        <v>45748.416666666664</v>
      </c>
      <c r="O115" s="51"/>
      <c r="P115" s="51"/>
      <c r="Q115" s="51"/>
      <c r="R115" s="51"/>
      <c r="S115" s="52"/>
    </row>
    <row r="116" spans="4:19">
      <c r="D116" s="50">
        <v>45748.499999826388</v>
      </c>
      <c r="E116" s="51"/>
      <c r="F116" s="51"/>
      <c r="G116" s="51"/>
      <c r="H116" s="51"/>
      <c r="I116" s="52"/>
      <c r="J116" s="53">
        <v>45748</v>
      </c>
      <c r="K116" s="51"/>
      <c r="L116" s="51"/>
      <c r="M116" s="52"/>
      <c r="N116" s="50">
        <v>45748.458333333336</v>
      </c>
      <c r="O116" s="51"/>
      <c r="P116" s="51"/>
      <c r="Q116" s="51"/>
      <c r="R116" s="51"/>
      <c r="S116" s="52"/>
    </row>
    <row r="117" spans="4:19">
      <c r="D117" s="50">
        <v>45748.541666435187</v>
      </c>
      <c r="E117" s="51"/>
      <c r="F117" s="51"/>
      <c r="G117" s="51"/>
      <c r="H117" s="51"/>
      <c r="I117" s="52"/>
      <c r="J117" s="53">
        <v>45748</v>
      </c>
      <c r="K117" s="51"/>
      <c r="L117" s="51"/>
      <c r="M117" s="52"/>
      <c r="N117" s="50">
        <v>45748.5</v>
      </c>
      <c r="O117" s="51"/>
      <c r="P117" s="51"/>
      <c r="Q117" s="51"/>
      <c r="R117" s="51"/>
      <c r="S117" s="52"/>
    </row>
    <row r="118" spans="4:19">
      <c r="D118" s="50">
        <v>45748.583333043978</v>
      </c>
      <c r="E118" s="51"/>
      <c r="F118" s="51"/>
      <c r="G118" s="51"/>
      <c r="H118" s="51"/>
      <c r="I118" s="52"/>
      <c r="J118" s="53">
        <v>45748</v>
      </c>
      <c r="K118" s="51"/>
      <c r="L118" s="51"/>
      <c r="M118" s="52"/>
      <c r="N118" s="50">
        <v>45748.541666666664</v>
      </c>
      <c r="O118" s="51"/>
      <c r="P118" s="51"/>
      <c r="Q118" s="51"/>
      <c r="R118" s="51"/>
      <c r="S118" s="52"/>
    </row>
    <row r="119" spans="4:19">
      <c r="D119" s="50">
        <v>45748.624999652777</v>
      </c>
      <c r="E119" s="51"/>
      <c r="F119" s="51"/>
      <c r="G119" s="51"/>
      <c r="H119" s="51"/>
      <c r="I119" s="52"/>
      <c r="J119" s="53">
        <v>45748</v>
      </c>
      <c r="K119" s="51"/>
      <c r="L119" s="51"/>
      <c r="M119" s="52"/>
      <c r="N119" s="50">
        <v>45748.583333333336</v>
      </c>
      <c r="O119" s="51"/>
      <c r="P119" s="51"/>
      <c r="Q119" s="51"/>
      <c r="R119" s="51"/>
      <c r="S119" s="52"/>
    </row>
    <row r="120" spans="4:19">
      <c r="D120" s="50">
        <v>45748.666666261575</v>
      </c>
      <c r="E120" s="51"/>
      <c r="F120" s="51"/>
      <c r="G120" s="51"/>
      <c r="H120" s="51"/>
      <c r="I120" s="52"/>
      <c r="J120" s="53">
        <v>45748</v>
      </c>
      <c r="K120" s="51"/>
      <c r="L120" s="51"/>
      <c r="M120" s="52"/>
      <c r="N120" s="50">
        <v>45748.625</v>
      </c>
      <c r="O120" s="51"/>
      <c r="P120" s="51"/>
      <c r="Q120" s="51"/>
      <c r="R120" s="51"/>
      <c r="S120" s="52"/>
    </row>
    <row r="121" spans="4:19">
      <c r="D121" s="50">
        <v>45748.708332870374</v>
      </c>
      <c r="E121" s="51"/>
      <c r="F121" s="51"/>
      <c r="G121" s="51"/>
      <c r="H121" s="51"/>
      <c r="I121" s="52"/>
      <c r="J121" s="53">
        <v>45748</v>
      </c>
      <c r="K121" s="51"/>
      <c r="L121" s="51"/>
      <c r="M121" s="52"/>
      <c r="N121" s="50">
        <v>45748.666666666664</v>
      </c>
      <c r="O121" s="51"/>
      <c r="P121" s="51"/>
      <c r="Q121" s="51"/>
      <c r="R121" s="51"/>
      <c r="S121" s="52"/>
    </row>
    <row r="122" spans="4:19">
      <c r="D122" s="50">
        <v>45748.749999479165</v>
      </c>
      <c r="E122" s="51"/>
      <c r="F122" s="51"/>
      <c r="G122" s="51"/>
      <c r="H122" s="51"/>
      <c r="I122" s="52"/>
      <c r="J122" s="53">
        <v>45748</v>
      </c>
      <c r="K122" s="51"/>
      <c r="L122" s="51"/>
      <c r="M122" s="52"/>
      <c r="N122" s="50">
        <v>45748.708333333336</v>
      </c>
      <c r="O122" s="51"/>
      <c r="P122" s="51"/>
      <c r="Q122" s="51"/>
      <c r="R122" s="51"/>
      <c r="S122" s="52"/>
    </row>
    <row r="123" spans="4:19">
      <c r="D123" s="50">
        <v>45748.791666087964</v>
      </c>
      <c r="E123" s="51"/>
      <c r="F123" s="51"/>
      <c r="G123" s="51"/>
      <c r="H123" s="51"/>
      <c r="I123" s="52"/>
      <c r="J123" s="53">
        <v>45748</v>
      </c>
      <c r="K123" s="51"/>
      <c r="L123" s="51"/>
      <c r="M123" s="52"/>
      <c r="N123" s="50">
        <v>45748.75</v>
      </c>
      <c r="O123" s="51"/>
      <c r="P123" s="51"/>
      <c r="Q123" s="51"/>
      <c r="R123" s="51"/>
      <c r="S123" s="52"/>
    </row>
    <row r="124" spans="4:19">
      <c r="D124" s="50">
        <v>45748.833332696762</v>
      </c>
      <c r="E124" s="51"/>
      <c r="F124" s="51"/>
      <c r="G124" s="51"/>
      <c r="H124" s="51"/>
      <c r="I124" s="52"/>
      <c r="J124" s="53">
        <v>45748</v>
      </c>
      <c r="K124" s="51"/>
      <c r="L124" s="51"/>
      <c r="M124" s="52"/>
      <c r="N124" s="50">
        <v>45748.791666666664</v>
      </c>
      <c r="O124" s="51"/>
      <c r="P124" s="51"/>
      <c r="Q124" s="51"/>
      <c r="R124" s="51"/>
      <c r="S124" s="52"/>
    </row>
    <row r="125" spans="4:19">
      <c r="D125" s="50">
        <v>45748.874999305554</v>
      </c>
      <c r="E125" s="51"/>
      <c r="F125" s="51"/>
      <c r="G125" s="51"/>
      <c r="H125" s="51"/>
      <c r="I125" s="52"/>
      <c r="J125" s="53">
        <v>45748</v>
      </c>
      <c r="K125" s="51"/>
      <c r="L125" s="51"/>
      <c r="M125" s="52"/>
      <c r="N125" s="50">
        <v>45748.833333333336</v>
      </c>
      <c r="O125" s="51"/>
      <c r="P125" s="51"/>
      <c r="Q125" s="51"/>
      <c r="R125" s="51"/>
      <c r="S125" s="52"/>
    </row>
    <row r="126" spans="4:19">
      <c r="D126" s="50">
        <v>45748.916665914352</v>
      </c>
      <c r="E126" s="51"/>
      <c r="F126" s="51"/>
      <c r="G126" s="51"/>
      <c r="H126" s="51"/>
      <c r="I126" s="52"/>
      <c r="J126" s="53">
        <v>45748</v>
      </c>
      <c r="K126" s="51"/>
      <c r="L126" s="51"/>
      <c r="M126" s="52"/>
      <c r="N126" s="50">
        <v>45748.875</v>
      </c>
      <c r="O126" s="51"/>
      <c r="P126" s="51"/>
      <c r="Q126" s="51"/>
      <c r="R126" s="51"/>
      <c r="S126" s="52"/>
    </row>
    <row r="127" spans="4:19">
      <c r="D127" s="50">
        <v>45748.958332523151</v>
      </c>
      <c r="E127" s="51"/>
      <c r="F127" s="51"/>
      <c r="G127" s="51"/>
      <c r="H127" s="51"/>
      <c r="I127" s="52"/>
      <c r="J127" s="53">
        <v>45748</v>
      </c>
      <c r="K127" s="51"/>
      <c r="L127" s="51"/>
      <c r="M127" s="52"/>
      <c r="N127" s="50">
        <v>45748.916666666664</v>
      </c>
      <c r="O127" s="51"/>
      <c r="P127" s="51"/>
      <c r="Q127" s="51"/>
      <c r="R127" s="51"/>
      <c r="S127" s="52"/>
    </row>
    <row r="128" spans="4:19">
      <c r="D128" s="50">
        <v>45748.999999131942</v>
      </c>
      <c r="E128" s="51"/>
      <c r="F128" s="51"/>
      <c r="G128" s="51"/>
      <c r="H128" s="51"/>
      <c r="I128" s="52"/>
      <c r="J128" s="53">
        <v>45748</v>
      </c>
      <c r="K128" s="51"/>
      <c r="L128" s="51"/>
      <c r="M128" s="52"/>
      <c r="N128" s="50">
        <v>45748.958333333336</v>
      </c>
      <c r="O128" s="51"/>
      <c r="P128" s="51"/>
      <c r="Q128" s="51"/>
      <c r="R128" s="51"/>
      <c r="S128" s="52"/>
    </row>
    <row r="129" spans="3:19">
      <c r="D129" s="50">
        <v>45749.04166574074</v>
      </c>
      <c r="E129" s="51"/>
      <c r="F129" s="51"/>
      <c r="G129" s="51"/>
      <c r="H129" s="51"/>
      <c r="I129" s="52"/>
      <c r="J129" s="53">
        <v>45748</v>
      </c>
      <c r="K129" s="51"/>
      <c r="L129" s="51"/>
      <c r="M129" s="52"/>
      <c r="N129" s="50">
        <v>45749</v>
      </c>
      <c r="O129" s="51"/>
      <c r="P129" s="51"/>
      <c r="Q129" s="51"/>
      <c r="R129" s="51"/>
      <c r="S129" s="52"/>
    </row>
    <row r="130" spans="3:19">
      <c r="D130" s="50">
        <v>45749.083332349539</v>
      </c>
      <c r="E130" s="51"/>
      <c r="F130" s="51"/>
      <c r="G130" s="51"/>
      <c r="H130" s="51"/>
      <c r="I130" s="52"/>
      <c r="J130" s="53">
        <v>45748</v>
      </c>
      <c r="K130" s="51"/>
      <c r="L130" s="51"/>
      <c r="M130" s="52"/>
      <c r="N130" s="50">
        <v>45749.041666666664</v>
      </c>
      <c r="O130" s="51"/>
      <c r="P130" s="51"/>
      <c r="Q130" s="51"/>
      <c r="R130" s="51"/>
      <c r="S130" s="52"/>
    </row>
    <row r="131" spans="3:19">
      <c r="D131" s="50">
        <v>45749.12499895833</v>
      </c>
      <c r="E131" s="51"/>
      <c r="F131" s="51"/>
      <c r="G131" s="51"/>
      <c r="H131" s="51"/>
      <c r="I131" s="52"/>
      <c r="J131" s="53">
        <v>45748</v>
      </c>
      <c r="K131" s="51"/>
      <c r="L131" s="51"/>
      <c r="M131" s="52"/>
      <c r="N131" s="50">
        <v>45749.083333333336</v>
      </c>
      <c r="O131" s="51"/>
      <c r="P131" s="51"/>
      <c r="Q131" s="51"/>
      <c r="R131" s="51"/>
      <c r="S131" s="52"/>
    </row>
    <row r="132" spans="3:19">
      <c r="D132" s="50">
        <v>45749.166665567129</v>
      </c>
      <c r="E132" s="51"/>
      <c r="F132" s="51"/>
      <c r="G132" s="51"/>
      <c r="H132" s="51"/>
      <c r="I132" s="52"/>
      <c r="J132" s="53">
        <v>45748</v>
      </c>
      <c r="K132" s="51"/>
      <c r="L132" s="51"/>
      <c r="M132" s="52"/>
      <c r="N132" s="50">
        <v>45749.125</v>
      </c>
      <c r="O132" s="51"/>
      <c r="P132" s="51"/>
      <c r="Q132" s="51"/>
      <c r="R132" s="51"/>
      <c r="S132" s="52"/>
    </row>
    <row r="133" spans="3:19">
      <c r="D133" s="50">
        <v>45749.208332175927</v>
      </c>
      <c r="E133" s="51"/>
      <c r="F133" s="51"/>
      <c r="G133" s="51"/>
      <c r="H133" s="51"/>
      <c r="I133" s="52"/>
      <c r="J133" s="53">
        <v>45748</v>
      </c>
      <c r="K133" s="51"/>
      <c r="L133" s="51"/>
      <c r="M133" s="52"/>
      <c r="N133" s="50">
        <v>45749.166666666664</v>
      </c>
      <c r="O133" s="51"/>
      <c r="P133" s="51"/>
      <c r="Q133" s="51"/>
      <c r="R133" s="51"/>
      <c r="S133" s="52"/>
    </row>
    <row r="134" spans="3:19">
      <c r="D134" s="50">
        <v>45749.249998784719</v>
      </c>
      <c r="E134" s="51"/>
      <c r="F134" s="51"/>
      <c r="G134" s="51"/>
      <c r="H134" s="51"/>
      <c r="I134" s="52"/>
      <c r="J134" s="53">
        <v>45748</v>
      </c>
      <c r="K134" s="51"/>
      <c r="L134" s="51"/>
      <c r="M134" s="52"/>
      <c r="N134" s="50">
        <v>45749.208333333336</v>
      </c>
      <c r="O134" s="51"/>
      <c r="P134" s="51"/>
      <c r="Q134" s="51"/>
      <c r="R134" s="51"/>
      <c r="S134" s="52"/>
    </row>
    <row r="135" spans="3:19">
      <c r="D135" s="50">
        <v>45749.291665277779</v>
      </c>
      <c r="E135" s="51"/>
      <c r="F135" s="51"/>
      <c r="G135" s="51"/>
      <c r="H135" s="51"/>
      <c r="I135" s="52"/>
      <c r="J135" s="53">
        <v>45748</v>
      </c>
      <c r="K135" s="51"/>
      <c r="L135" s="51"/>
      <c r="M135" s="52"/>
      <c r="N135" s="50">
        <v>45749.250000057873</v>
      </c>
      <c r="O135" s="51"/>
      <c r="P135" s="51"/>
      <c r="Q135" s="51"/>
      <c r="R135" s="51"/>
      <c r="S135" s="52"/>
    </row>
    <row r="136" spans="3:19">
      <c r="D136" s="50">
        <v>45749.333333333336</v>
      </c>
      <c r="E136" s="51"/>
      <c r="F136" s="51"/>
      <c r="G136" s="51"/>
      <c r="H136" s="51"/>
      <c r="I136" s="52"/>
      <c r="J136" s="65">
        <v>45748</v>
      </c>
      <c r="K136" s="63"/>
      <c r="L136" s="63"/>
      <c r="M136" s="64"/>
      <c r="N136" s="50">
        <v>45749.291666666664</v>
      </c>
      <c r="O136" s="51"/>
      <c r="P136" s="51"/>
      <c r="Q136" s="51"/>
      <c r="R136" s="51"/>
      <c r="S136" s="52"/>
    </row>
    <row r="137" spans="3:19">
      <c r="D137" s="50">
        <v>45749.333344907405</v>
      </c>
      <c r="E137" s="51"/>
      <c r="F137" s="51"/>
      <c r="G137" s="51"/>
      <c r="H137" s="51"/>
      <c r="I137" s="52"/>
      <c r="J137" s="65">
        <v>45749</v>
      </c>
      <c r="K137" s="63"/>
      <c r="L137" s="63"/>
      <c r="M137" s="64"/>
      <c r="N137" s="59" t="s">
        <v>110</v>
      </c>
      <c r="O137" s="60"/>
      <c r="P137" s="60"/>
      <c r="Q137" s="60"/>
      <c r="R137" s="60"/>
      <c r="S137" s="61"/>
    </row>
    <row r="138" spans="3:19">
      <c r="D138" s="54"/>
      <c r="E138" s="54"/>
      <c r="F138" s="54"/>
      <c r="G138" s="54"/>
      <c r="H138" s="54"/>
      <c r="I138" s="54"/>
      <c r="J138" s="55"/>
      <c r="K138" s="54"/>
      <c r="L138" s="54"/>
      <c r="M138" s="54"/>
    </row>
    <row r="140" spans="3:19">
      <c r="C140" s="1" t="s">
        <v>99</v>
      </c>
    </row>
    <row r="141" spans="3:19">
      <c r="D141" s="1" t="s">
        <v>113</v>
      </c>
    </row>
    <row r="142" spans="3:19">
      <c r="D142" s="1" t="s">
        <v>114</v>
      </c>
    </row>
    <row r="144" spans="3:19">
      <c r="D144" s="1" t="s">
        <v>73</v>
      </c>
    </row>
    <row r="145" spans="4:24">
      <c r="D145" s="8" t="s">
        <v>40</v>
      </c>
      <c r="E145" s="48"/>
      <c r="F145" s="48"/>
      <c r="G145" s="48"/>
      <c r="H145" s="48"/>
      <c r="I145" s="49"/>
      <c r="J145" s="8" t="s">
        <v>108</v>
      </c>
      <c r="K145" s="48"/>
      <c r="L145" s="48"/>
      <c r="M145" s="48"/>
      <c r="N145" s="48"/>
      <c r="O145" s="49"/>
      <c r="P145" s="56" t="s">
        <v>71</v>
      </c>
      <c r="Q145" s="48"/>
      <c r="R145" s="48"/>
      <c r="S145" s="56" t="s">
        <v>72</v>
      </c>
      <c r="T145" s="48"/>
      <c r="U145" s="48"/>
      <c r="V145" s="48"/>
      <c r="W145" s="48"/>
      <c r="X145" s="49"/>
    </row>
    <row r="146" spans="4:24">
      <c r="D146" s="59">
        <v>45415.333344907405</v>
      </c>
      <c r="E146" s="60"/>
      <c r="F146" s="60"/>
      <c r="G146" s="60"/>
      <c r="H146" s="60"/>
      <c r="I146" s="61"/>
      <c r="J146" s="59" t="s">
        <v>110</v>
      </c>
      <c r="K146" s="60"/>
      <c r="L146" s="60"/>
      <c r="M146" s="60"/>
      <c r="N146" s="60"/>
      <c r="O146" s="61"/>
      <c r="P146" s="62">
        <v>0</v>
      </c>
      <c r="Q146" s="60"/>
      <c r="R146" s="60"/>
      <c r="S146" s="62">
        <v>0</v>
      </c>
      <c r="T146" s="60"/>
      <c r="U146" s="60"/>
      <c r="V146" s="60"/>
      <c r="W146" s="60"/>
      <c r="X146" s="61"/>
    </row>
    <row r="147" spans="4:24">
      <c r="D147" s="50">
        <v>45415.375</v>
      </c>
      <c r="E147" s="51"/>
      <c r="F147" s="51"/>
      <c r="G147" s="51"/>
      <c r="H147" s="51"/>
      <c r="I147" s="52"/>
      <c r="J147" s="50">
        <v>45415.333333333336</v>
      </c>
      <c r="K147" s="51"/>
      <c r="L147" s="51"/>
      <c r="M147" s="51"/>
      <c r="N147" s="51"/>
      <c r="O147" s="52"/>
      <c r="P147" s="57">
        <v>6103</v>
      </c>
      <c r="Q147" s="51"/>
      <c r="R147" s="51"/>
      <c r="S147" s="58">
        <v>6103</v>
      </c>
      <c r="T147" s="63"/>
      <c r="U147" s="63"/>
      <c r="V147" s="63"/>
      <c r="W147" s="63"/>
      <c r="X147" s="64"/>
    </row>
    <row r="148" spans="4:24">
      <c r="D148" s="50">
        <v>45415.416666666664</v>
      </c>
      <c r="E148" s="51"/>
      <c r="F148" s="51"/>
      <c r="G148" s="51"/>
      <c r="H148" s="51"/>
      <c r="I148" s="52"/>
      <c r="J148" s="50">
        <v>45415.375</v>
      </c>
      <c r="K148" s="51"/>
      <c r="L148" s="51"/>
      <c r="M148" s="51"/>
      <c r="N148" s="51"/>
      <c r="O148" s="52"/>
      <c r="P148" s="57">
        <v>6918</v>
      </c>
      <c r="Q148" s="51"/>
      <c r="R148" s="51"/>
      <c r="S148" s="58">
        <v>815</v>
      </c>
      <c r="T148" s="63"/>
      <c r="U148" s="63"/>
      <c r="V148" s="63"/>
      <c r="W148" s="63"/>
      <c r="X148" s="64"/>
    </row>
    <row r="149" spans="4:24">
      <c r="D149" s="54"/>
      <c r="E149" s="54"/>
      <c r="F149" s="54"/>
      <c r="G149" s="54"/>
      <c r="H149" s="54"/>
      <c r="I149" s="54"/>
      <c r="J149" s="69"/>
      <c r="K149" s="54"/>
      <c r="L149" s="54"/>
      <c r="M149" s="69"/>
      <c r="N149" s="54"/>
      <c r="O149" s="54"/>
      <c r="P149" s="54"/>
      <c r="Q149" s="54"/>
      <c r="R149" s="54"/>
    </row>
  </sheetData>
  <phoneticPr fontId="2"/>
  <pageMargins left="0.70866141732283472" right="0.70866141732283472" top="0.74803149606299213" bottom="0.74803149606299213" header="0.31496062992125984" footer="0.31496062992125984"/>
  <pageSetup paperSize="9" scale="3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318DB-4122-4043-8487-74BD189E5F90}">
  <dimension ref="A1:BG52"/>
  <sheetViews>
    <sheetView showGridLines="0" zoomScale="70" zoomScaleNormal="70" workbookViewId="0"/>
  </sheetViews>
  <sheetFormatPr defaultColWidth="2.625" defaultRowHeight="15"/>
  <cols>
    <col min="1" max="16384" width="2.625" style="1"/>
  </cols>
  <sheetData>
    <row r="1" spans="1:59">
      <c r="A1" s="1" t="s">
        <v>1</v>
      </c>
    </row>
    <row r="2" spans="1:59">
      <c r="B2" s="1" t="s">
        <v>2</v>
      </c>
    </row>
    <row r="3" spans="1:59">
      <c r="C3" s="5" t="s">
        <v>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7"/>
    </row>
    <row r="4" spans="1:59">
      <c r="C4" s="14"/>
      <c r="BG4" s="15"/>
    </row>
    <row r="5" spans="1:59">
      <c r="C5" s="14"/>
      <c r="BG5" s="15"/>
    </row>
    <row r="6" spans="1:59">
      <c r="C6" s="14"/>
      <c r="BG6" s="15"/>
    </row>
    <row r="7" spans="1:59">
      <c r="C7" s="14"/>
      <c r="BG7" s="15"/>
    </row>
    <row r="8" spans="1:59">
      <c r="C8" s="14"/>
      <c r="BG8" s="15"/>
    </row>
    <row r="9" spans="1:59">
      <c r="C9" s="14"/>
      <c r="BG9" s="15"/>
    </row>
    <row r="10" spans="1:59">
      <c r="C10" s="14"/>
      <c r="BG10" s="15"/>
    </row>
    <row r="11" spans="1:59">
      <c r="C11" s="14"/>
      <c r="BG11" s="15"/>
    </row>
    <row r="12" spans="1:59">
      <c r="C12" s="14"/>
      <c r="BG12" s="15"/>
    </row>
    <row r="13" spans="1:59">
      <c r="C13" s="14"/>
      <c r="BG13" s="15"/>
    </row>
    <row r="14" spans="1:59">
      <c r="C14" s="14"/>
      <c r="BG14" s="15"/>
    </row>
    <row r="15" spans="1:59">
      <c r="C15" s="14"/>
      <c r="BG15" s="15"/>
    </row>
    <row r="16" spans="1:59">
      <c r="C16" s="14"/>
      <c r="BG16" s="15"/>
    </row>
    <row r="17" spans="3:59">
      <c r="C17" s="14"/>
      <c r="BG17" s="15"/>
    </row>
    <row r="18" spans="3:59">
      <c r="C18" s="14"/>
      <c r="BG18" s="15"/>
    </row>
    <row r="19" spans="3:59">
      <c r="C19" s="14"/>
      <c r="BG19" s="15"/>
    </row>
    <row r="20" spans="3:59">
      <c r="C20" s="14"/>
      <c r="BG20" s="15"/>
    </row>
    <row r="21" spans="3:59">
      <c r="C21" s="14"/>
      <c r="BG21" s="15"/>
    </row>
    <row r="22" spans="3:59">
      <c r="C22" s="14"/>
      <c r="BG22" s="15"/>
    </row>
    <row r="23" spans="3:59">
      <c r="C23" s="14"/>
      <c r="BG23" s="15"/>
    </row>
    <row r="24" spans="3:59">
      <c r="C24" s="14"/>
      <c r="BG24" s="15"/>
    </row>
    <row r="25" spans="3:59">
      <c r="C25" s="14"/>
      <c r="BG25" s="15"/>
    </row>
    <row r="26" spans="3:59">
      <c r="C26" s="14"/>
      <c r="BG26" s="15"/>
    </row>
    <row r="27" spans="3:59">
      <c r="C27" s="14"/>
      <c r="BG27" s="15"/>
    </row>
    <row r="28" spans="3:59">
      <c r="C28" s="14"/>
      <c r="BG28" s="15"/>
    </row>
    <row r="29" spans="3:59">
      <c r="C29" s="16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8"/>
    </row>
    <row r="30" spans="3:59">
      <c r="C30" s="19" t="s">
        <v>142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1"/>
    </row>
    <row r="31" spans="3:59">
      <c r="C31" s="14"/>
      <c r="BG31" s="15"/>
    </row>
    <row r="32" spans="3:59">
      <c r="C32" s="14"/>
      <c r="BG32" s="15"/>
    </row>
    <row r="33" spans="3:59">
      <c r="C33" s="14"/>
      <c r="BG33" s="15"/>
    </row>
    <row r="34" spans="3:59">
      <c r="C34" s="14"/>
      <c r="BG34" s="15"/>
    </row>
    <row r="35" spans="3:59">
      <c r="C35" s="14"/>
      <c r="BG35" s="15"/>
    </row>
    <row r="36" spans="3:59">
      <c r="C36" s="14"/>
      <c r="BG36" s="15"/>
    </row>
    <row r="37" spans="3:59">
      <c r="C37" s="14"/>
      <c r="BG37" s="15"/>
    </row>
    <row r="38" spans="3:59">
      <c r="C38" s="14"/>
      <c r="BG38" s="15"/>
    </row>
    <row r="39" spans="3:59">
      <c r="C39" s="14"/>
      <c r="AD39" s="8" t="s">
        <v>79</v>
      </c>
      <c r="AE39" s="9"/>
      <c r="AF39" s="10"/>
      <c r="AG39" s="24" t="s">
        <v>74</v>
      </c>
      <c r="AH39" s="9"/>
      <c r="AI39" s="9"/>
      <c r="AJ39" s="9"/>
      <c r="AK39" s="9"/>
      <c r="AL39" s="9"/>
      <c r="AM39" s="10"/>
      <c r="AS39" s="8" t="s">
        <v>79</v>
      </c>
      <c r="AT39" s="9"/>
      <c r="AU39" s="10"/>
      <c r="AV39" s="24" t="s">
        <v>74</v>
      </c>
      <c r="AW39" s="9"/>
      <c r="AX39" s="9"/>
      <c r="AY39" s="9"/>
      <c r="AZ39" s="9"/>
      <c r="BA39" s="9"/>
      <c r="BB39" s="10"/>
      <c r="BG39" s="15"/>
    </row>
    <row r="40" spans="3:59">
      <c r="C40" s="14"/>
      <c r="AD40" s="70" t="s">
        <v>49</v>
      </c>
      <c r="AE40" s="12"/>
      <c r="AF40" s="13"/>
      <c r="AG40" s="2" t="s">
        <v>47</v>
      </c>
      <c r="AH40" s="3"/>
      <c r="AI40" s="3"/>
      <c r="AJ40" s="3"/>
      <c r="AK40" s="3"/>
      <c r="AL40" s="3"/>
      <c r="AM40" s="4"/>
      <c r="AS40" s="70" t="s">
        <v>115</v>
      </c>
      <c r="AT40" s="12"/>
      <c r="AU40" s="13"/>
      <c r="AV40" s="2" t="s">
        <v>185</v>
      </c>
      <c r="AW40" s="3"/>
      <c r="AX40" s="3"/>
      <c r="AY40" s="3"/>
      <c r="AZ40" s="3"/>
      <c r="BA40" s="3"/>
      <c r="BB40" s="4"/>
      <c r="BG40" s="15"/>
    </row>
    <row r="41" spans="3:59">
      <c r="C41" s="14"/>
      <c r="AD41" s="71"/>
      <c r="AF41" s="15"/>
      <c r="AG41" s="2" t="s">
        <v>183</v>
      </c>
      <c r="AH41" s="3"/>
      <c r="AI41" s="3"/>
      <c r="AJ41" s="3"/>
      <c r="AK41" s="3"/>
      <c r="AL41" s="3"/>
      <c r="AM41" s="4"/>
      <c r="AS41" s="71"/>
      <c r="AU41" s="15"/>
      <c r="AV41" s="2" t="s">
        <v>47</v>
      </c>
      <c r="AW41" s="3"/>
      <c r="AX41" s="3"/>
      <c r="AY41" s="3"/>
      <c r="AZ41" s="3"/>
      <c r="BA41" s="3"/>
      <c r="BB41" s="4"/>
      <c r="BG41" s="15"/>
    </row>
    <row r="42" spans="3:59">
      <c r="C42" s="14"/>
      <c r="AD42" s="71"/>
      <c r="AF42" s="15"/>
      <c r="AG42" s="2" t="s">
        <v>184</v>
      </c>
      <c r="AH42" s="3"/>
      <c r="AI42" s="3"/>
      <c r="AJ42" s="3"/>
      <c r="AK42" s="3"/>
      <c r="AL42" s="3"/>
      <c r="AM42" s="4"/>
      <c r="AS42" s="71"/>
      <c r="AU42" s="15"/>
      <c r="AV42" s="2" t="s">
        <v>48</v>
      </c>
      <c r="AW42" s="3"/>
      <c r="AX42" s="3"/>
      <c r="AY42" s="3"/>
      <c r="AZ42" s="3"/>
      <c r="BA42" s="3"/>
      <c r="BB42" s="4"/>
      <c r="BG42" s="15"/>
    </row>
    <row r="43" spans="3:59">
      <c r="C43" s="14"/>
      <c r="AD43" s="71"/>
      <c r="AF43" s="15"/>
      <c r="AG43" s="2" t="s">
        <v>48</v>
      </c>
      <c r="AH43" s="3"/>
      <c r="AI43" s="3"/>
      <c r="AJ43" s="3"/>
      <c r="AK43" s="3"/>
      <c r="AL43" s="3"/>
      <c r="AM43" s="4"/>
      <c r="AS43" s="71"/>
      <c r="AU43" s="15"/>
      <c r="AV43" s="2" t="s">
        <v>116</v>
      </c>
      <c r="AW43" s="3"/>
      <c r="AX43" s="3"/>
      <c r="AY43" s="3"/>
      <c r="AZ43" s="3"/>
      <c r="BA43" s="3"/>
      <c r="BB43" s="4"/>
      <c r="BG43" s="15"/>
    </row>
    <row r="44" spans="3:59">
      <c r="C44" s="14"/>
      <c r="AD44" s="71"/>
      <c r="AF44" s="15"/>
      <c r="AG44" s="2" t="s">
        <v>46</v>
      </c>
      <c r="AH44" s="3"/>
      <c r="AI44" s="3"/>
      <c r="AJ44" s="3"/>
      <c r="AK44" s="3"/>
      <c r="AL44" s="3"/>
      <c r="AM44" s="4"/>
      <c r="AS44" s="71"/>
      <c r="AU44" s="15"/>
      <c r="AV44" s="2" t="s">
        <v>186</v>
      </c>
      <c r="AW44" s="3"/>
      <c r="AX44" s="3"/>
      <c r="AY44" s="3"/>
      <c r="AZ44" s="3"/>
      <c r="BA44" s="3"/>
      <c r="BB44" s="4"/>
      <c r="BG44" s="15"/>
    </row>
    <row r="45" spans="3:59">
      <c r="C45" s="14"/>
      <c r="AD45" s="71"/>
      <c r="AF45" s="15"/>
      <c r="AG45" s="2" t="s">
        <v>116</v>
      </c>
      <c r="AH45" s="3"/>
      <c r="AI45" s="3"/>
      <c r="AJ45" s="3"/>
      <c r="AK45" s="3"/>
      <c r="AL45" s="3"/>
      <c r="AM45" s="4"/>
      <c r="AS45" s="72"/>
      <c r="AT45" s="17"/>
      <c r="AU45" s="18"/>
      <c r="AV45" s="2" t="s">
        <v>187</v>
      </c>
      <c r="AW45" s="3"/>
      <c r="AX45" s="3"/>
      <c r="AY45" s="3"/>
      <c r="AZ45" s="3"/>
      <c r="BA45" s="3"/>
      <c r="BB45" s="4"/>
      <c r="BG45" s="15"/>
    </row>
    <row r="46" spans="3:59">
      <c r="C46" s="14"/>
      <c r="AD46" s="71"/>
      <c r="AF46" s="15"/>
      <c r="AG46" s="2" t="s">
        <v>118</v>
      </c>
      <c r="AH46" s="3"/>
      <c r="AI46" s="3"/>
      <c r="AJ46" s="3"/>
      <c r="AK46" s="3"/>
      <c r="AL46" s="3"/>
      <c r="AM46" s="4"/>
      <c r="BG46" s="15"/>
    </row>
    <row r="47" spans="3:59">
      <c r="C47" s="14"/>
      <c r="AD47" s="72"/>
      <c r="AE47" s="17"/>
      <c r="AF47" s="18"/>
      <c r="AG47" s="2" t="s">
        <v>117</v>
      </c>
      <c r="AH47" s="3"/>
      <c r="AI47" s="3"/>
      <c r="AJ47" s="3"/>
      <c r="AK47" s="3"/>
      <c r="AL47" s="3"/>
      <c r="AM47" s="4"/>
      <c r="BG47" s="15"/>
    </row>
    <row r="48" spans="3:59">
      <c r="C48" s="14"/>
      <c r="BG48" s="15"/>
    </row>
    <row r="49" spans="2:59">
      <c r="C49" s="14"/>
      <c r="BG49" s="15"/>
    </row>
    <row r="50" spans="2:59">
      <c r="C50" s="16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8"/>
    </row>
    <row r="52" spans="2:59">
      <c r="B52" s="1" t="s">
        <v>4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95816-D5E2-4B43-96C1-78ACB7AFC4BF}">
  <sheetPr>
    <pageSetUpPr fitToPage="1"/>
  </sheetPr>
  <dimension ref="A1:D42"/>
  <sheetViews>
    <sheetView showGridLines="0" zoomScale="115" zoomScaleNormal="115" workbookViewId="0"/>
  </sheetViews>
  <sheetFormatPr defaultColWidth="3.125" defaultRowHeight="15"/>
  <cols>
    <col min="1" max="1" width="3.125" style="1"/>
    <col min="2" max="2" width="5.5" style="1" bestFit="1" customWidth="1"/>
    <col min="3" max="3" width="19.625" style="1" customWidth="1"/>
    <col min="4" max="4" width="52.5" style="1" bestFit="1" customWidth="1"/>
    <col min="5" max="16384" width="3.125" style="1"/>
  </cols>
  <sheetData>
    <row r="1" spans="1:4">
      <c r="A1" s="1" t="s">
        <v>7</v>
      </c>
    </row>
    <row r="2" spans="1:4">
      <c r="B2" s="8" t="s">
        <v>5</v>
      </c>
      <c r="C2" s="24" t="s">
        <v>8</v>
      </c>
      <c r="D2" s="24" t="s">
        <v>9</v>
      </c>
    </row>
    <row r="3" spans="1:4">
      <c r="B3" s="2" t="s">
        <v>10</v>
      </c>
      <c r="C3" s="23" t="s">
        <v>11</v>
      </c>
      <c r="D3" s="23" t="s">
        <v>12</v>
      </c>
    </row>
    <row r="4" spans="1:4">
      <c r="B4" s="2" t="s">
        <v>13</v>
      </c>
      <c r="C4" s="23" t="s">
        <v>14</v>
      </c>
      <c r="D4" s="23" t="s">
        <v>15</v>
      </c>
    </row>
    <row r="5" spans="1:4">
      <c r="B5" s="2" t="s">
        <v>143</v>
      </c>
      <c r="C5" s="23" t="s">
        <v>145</v>
      </c>
      <c r="D5" s="23" t="s">
        <v>146</v>
      </c>
    </row>
    <row r="6" spans="1:4">
      <c r="B6" s="2" t="s">
        <v>81</v>
      </c>
      <c r="C6" s="23" t="s">
        <v>80</v>
      </c>
      <c r="D6" s="23" t="s">
        <v>82</v>
      </c>
    </row>
    <row r="7" spans="1:4">
      <c r="B7" s="2" t="s">
        <v>16</v>
      </c>
      <c r="C7" s="23" t="s">
        <v>17</v>
      </c>
      <c r="D7" s="23" t="s">
        <v>18</v>
      </c>
    </row>
    <row r="8" spans="1:4">
      <c r="B8" s="2" t="s">
        <v>19</v>
      </c>
      <c r="C8" s="23" t="s">
        <v>20</v>
      </c>
      <c r="D8" s="23" t="s">
        <v>21</v>
      </c>
    </row>
    <row r="9" spans="1:4" ht="17.649999999999999">
      <c r="B9"/>
      <c r="C9"/>
      <c r="D9"/>
    </row>
    <row r="10" spans="1:4" ht="17.649999999999999">
      <c r="B10"/>
      <c r="C10"/>
      <c r="D10"/>
    </row>
    <row r="11" spans="1:4" ht="17.649999999999999">
      <c r="B11"/>
      <c r="C11"/>
      <c r="D11"/>
    </row>
    <row r="12" spans="1:4" ht="17.649999999999999">
      <c r="B12"/>
      <c r="C12"/>
      <c r="D12"/>
    </row>
    <row r="13" spans="1:4" ht="17.649999999999999">
      <c r="B13"/>
      <c r="C13"/>
      <c r="D13"/>
    </row>
    <row r="14" spans="1:4" ht="17.649999999999999">
      <c r="B14"/>
      <c r="C14"/>
      <c r="D14"/>
    </row>
    <row r="15" spans="1:4" ht="17.649999999999999">
      <c r="B15"/>
      <c r="C15"/>
      <c r="D15"/>
    </row>
    <row r="16" spans="1:4" ht="17.649999999999999">
      <c r="B16"/>
      <c r="C16"/>
      <c r="D16"/>
    </row>
    <row r="17" spans="2:4" ht="17.649999999999999">
      <c r="B17"/>
      <c r="C17"/>
      <c r="D17"/>
    </row>
    <row r="18" spans="2:4" ht="17.649999999999999">
      <c r="B18"/>
      <c r="C18"/>
      <c r="D18"/>
    </row>
    <row r="19" spans="2:4" ht="17.649999999999999">
      <c r="B19"/>
      <c r="C19"/>
      <c r="D19"/>
    </row>
    <row r="20" spans="2:4" ht="17.649999999999999">
      <c r="B20"/>
      <c r="C20"/>
      <c r="D20"/>
    </row>
    <row r="21" spans="2:4" ht="17.649999999999999">
      <c r="B21"/>
      <c r="C21"/>
      <c r="D21"/>
    </row>
    <row r="22" spans="2:4" ht="17.649999999999999">
      <c r="B22"/>
      <c r="C22"/>
      <c r="D22"/>
    </row>
    <row r="23" spans="2:4" ht="17.649999999999999">
      <c r="B23"/>
      <c r="C23"/>
      <c r="D23"/>
    </row>
    <row r="24" spans="2:4" ht="17.649999999999999">
      <c r="B24"/>
      <c r="C24"/>
      <c r="D24"/>
    </row>
    <row r="25" spans="2:4" ht="17.649999999999999">
      <c r="B25"/>
      <c r="C25"/>
      <c r="D25"/>
    </row>
    <row r="26" spans="2:4" ht="17.649999999999999">
      <c r="B26"/>
      <c r="C26"/>
      <c r="D26"/>
    </row>
    <row r="27" spans="2:4" ht="17.649999999999999">
      <c r="B27"/>
      <c r="C27"/>
      <c r="D27"/>
    </row>
    <row r="28" spans="2:4" ht="17.649999999999999">
      <c r="B28"/>
      <c r="C28"/>
      <c r="D28"/>
    </row>
    <row r="29" spans="2:4" ht="17.649999999999999">
      <c r="B29"/>
      <c r="C29"/>
      <c r="D29"/>
    </row>
    <row r="30" spans="2:4" ht="17.649999999999999">
      <c r="B30"/>
      <c r="C30"/>
      <c r="D30"/>
    </row>
    <row r="31" spans="2:4" ht="17.649999999999999">
      <c r="B31"/>
      <c r="C31"/>
      <c r="D31"/>
    </row>
    <row r="32" spans="2:4" ht="17.649999999999999">
      <c r="B32"/>
      <c r="C32"/>
      <c r="D32"/>
    </row>
    <row r="33" spans="2:4" ht="17.649999999999999">
      <c r="B33"/>
      <c r="C33"/>
      <c r="D33"/>
    </row>
    <row r="34" spans="2:4" ht="17.649999999999999">
      <c r="B34"/>
      <c r="C34"/>
      <c r="D34"/>
    </row>
    <row r="35" spans="2:4" ht="17.649999999999999">
      <c r="B35"/>
      <c r="C35"/>
      <c r="D35"/>
    </row>
    <row r="36" spans="2:4" ht="17.649999999999999">
      <c r="B36"/>
      <c r="C36"/>
      <c r="D36"/>
    </row>
    <row r="37" spans="2:4" ht="17.649999999999999">
      <c r="B37"/>
      <c r="C37"/>
      <c r="D37"/>
    </row>
    <row r="38" spans="2:4" ht="17.649999999999999">
      <c r="B38"/>
      <c r="C38"/>
      <c r="D38"/>
    </row>
    <row r="39" spans="2:4" ht="17.649999999999999">
      <c r="B39"/>
      <c r="C39"/>
      <c r="D39"/>
    </row>
    <row r="40" spans="2:4" ht="17.649999999999999">
      <c r="B40"/>
      <c r="C40"/>
      <c r="D40"/>
    </row>
    <row r="41" spans="2:4" ht="17.649999999999999">
      <c r="B41"/>
      <c r="C41"/>
      <c r="D41"/>
    </row>
    <row r="42" spans="2:4" ht="17.649999999999999">
      <c r="B42"/>
      <c r="C42"/>
      <c r="D42"/>
    </row>
  </sheetData>
  <phoneticPr fontId="2"/>
  <pageMargins left="0.70866141732283472" right="0.70866141732283472" top="0.74803149606299213" bottom="0.74803149606299213" header="0.31496062992125984" footer="0.31496062992125984"/>
  <pageSetup paperSize="9"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57E1-48E7-4078-8026-032CE7DD3BB3}">
  <sheetPr>
    <pageSetUpPr fitToPage="1"/>
  </sheetPr>
  <dimension ref="A1:H89"/>
  <sheetViews>
    <sheetView showGridLines="0" zoomScale="60" zoomScaleNormal="60" workbookViewId="0"/>
  </sheetViews>
  <sheetFormatPr defaultColWidth="3.125" defaultRowHeight="15"/>
  <cols>
    <col min="1" max="1" width="3.125" style="26"/>
    <col min="2" max="2" width="6.75" style="25" customWidth="1"/>
    <col min="3" max="3" width="15.875" style="25" bestFit="1" customWidth="1"/>
    <col min="4" max="4" width="49.4375" style="25" bestFit="1" customWidth="1"/>
    <col min="5" max="5" width="21.75" style="25" customWidth="1"/>
    <col min="6" max="6" width="49.4375" style="25" bestFit="1" customWidth="1"/>
    <col min="7" max="7" width="71.5" style="25" customWidth="1"/>
    <col min="8" max="8" width="63.625" style="25" bestFit="1" customWidth="1"/>
    <col min="9" max="16384" width="3.125" style="1"/>
  </cols>
  <sheetData>
    <row r="1" spans="1:8">
      <c r="A1" s="1" t="s">
        <v>22</v>
      </c>
    </row>
    <row r="2" spans="1:8">
      <c r="A2" s="26">
        <v>1</v>
      </c>
      <c r="B2" s="25" t="str">
        <f ca="1">OFFSET(TB一覧!$B$3,TB定義!A2-1,0)</f>
        <v>M01</v>
      </c>
      <c r="C2" s="25" t="str">
        <f ca="1">OFFSET(TB一覧!$B$3,TB定義!A2-1,1)</f>
        <v>mst_ライン一覧</v>
      </c>
    </row>
    <row r="3" spans="1:8">
      <c r="B3" s="27" t="s">
        <v>23</v>
      </c>
      <c r="C3" s="28"/>
      <c r="D3" s="29"/>
      <c r="E3" s="27" t="s">
        <v>24</v>
      </c>
      <c r="F3" s="28"/>
      <c r="G3" s="28"/>
      <c r="H3" s="29"/>
    </row>
    <row r="4" spans="1:8">
      <c r="B4" s="27" t="s">
        <v>5</v>
      </c>
      <c r="C4" s="27" t="s">
        <v>25</v>
      </c>
      <c r="D4" s="27" t="s">
        <v>26</v>
      </c>
      <c r="E4" s="27" t="s">
        <v>27</v>
      </c>
      <c r="F4" s="27" t="s">
        <v>26</v>
      </c>
      <c r="G4" s="27" t="s">
        <v>28</v>
      </c>
      <c r="H4" s="30" t="s">
        <v>9</v>
      </c>
    </row>
    <row r="5" spans="1:8">
      <c r="B5" s="31">
        <v>1</v>
      </c>
      <c r="C5" s="31" t="s">
        <v>29</v>
      </c>
      <c r="D5" s="31" t="s">
        <v>30</v>
      </c>
      <c r="E5" s="31" t="s">
        <v>31</v>
      </c>
      <c r="F5" s="31" t="s">
        <v>30</v>
      </c>
      <c r="G5" s="32"/>
      <c r="H5" s="33"/>
    </row>
    <row r="6" spans="1:8">
      <c r="B6" s="31">
        <v>2</v>
      </c>
      <c r="C6" s="31" t="s">
        <v>29</v>
      </c>
      <c r="D6" s="31" t="s">
        <v>32</v>
      </c>
      <c r="E6" s="31" t="s">
        <v>31</v>
      </c>
      <c r="F6" s="31" t="s">
        <v>32</v>
      </c>
      <c r="G6" s="34"/>
      <c r="H6" s="33"/>
    </row>
    <row r="7" spans="1:8">
      <c r="B7" s="31">
        <v>3</v>
      </c>
      <c r="C7" s="31" t="s">
        <v>29</v>
      </c>
      <c r="D7" s="31" t="s">
        <v>33</v>
      </c>
      <c r="E7" s="31" t="s">
        <v>31</v>
      </c>
      <c r="F7" s="31" t="s">
        <v>33</v>
      </c>
      <c r="G7" s="34"/>
      <c r="H7" s="33"/>
    </row>
    <row r="8" spans="1:8">
      <c r="B8" s="31">
        <v>4</v>
      </c>
      <c r="C8" s="31" t="s">
        <v>29</v>
      </c>
      <c r="D8" s="31" t="s">
        <v>34</v>
      </c>
      <c r="E8" s="31" t="s">
        <v>31</v>
      </c>
      <c r="F8" s="31" t="s">
        <v>34</v>
      </c>
      <c r="G8" s="34"/>
      <c r="H8" s="33"/>
    </row>
    <row r="10" spans="1:8">
      <c r="A10" s="26">
        <f>A2+1</f>
        <v>2</v>
      </c>
      <c r="B10" s="25" t="str">
        <f ca="1">OFFSET(TB一覧!$B$3,TB定義!A10-1,0)</f>
        <v>M02</v>
      </c>
      <c r="C10" s="25" t="str">
        <f ca="1">OFFSET(TB一覧!$B$3,TB定義!A10-1,1)</f>
        <v>mst_停止要因</v>
      </c>
    </row>
    <row r="11" spans="1:8">
      <c r="B11" s="27" t="s">
        <v>23</v>
      </c>
      <c r="C11" s="28"/>
      <c r="D11" s="29"/>
      <c r="E11" s="27" t="s">
        <v>24</v>
      </c>
      <c r="F11" s="28"/>
      <c r="G11" s="28"/>
      <c r="H11" s="29"/>
    </row>
    <row r="12" spans="1:8">
      <c r="B12" s="27" t="s">
        <v>5</v>
      </c>
      <c r="C12" s="27" t="s">
        <v>25</v>
      </c>
      <c r="D12" s="27" t="s">
        <v>26</v>
      </c>
      <c r="E12" s="27" t="s">
        <v>27</v>
      </c>
      <c r="F12" s="27" t="s">
        <v>26</v>
      </c>
      <c r="G12" s="27" t="s">
        <v>28</v>
      </c>
      <c r="H12" s="30" t="s">
        <v>9</v>
      </c>
    </row>
    <row r="13" spans="1:8">
      <c r="B13" s="31">
        <v>1</v>
      </c>
      <c r="C13" s="31" t="s">
        <v>29</v>
      </c>
      <c r="D13" s="31" t="s">
        <v>35</v>
      </c>
      <c r="E13" s="31" t="s">
        <v>36</v>
      </c>
      <c r="F13" s="31" t="s">
        <v>35</v>
      </c>
      <c r="G13" s="34"/>
      <c r="H13" s="33" t="s">
        <v>37</v>
      </c>
    </row>
    <row r="14" spans="1:8">
      <c r="B14" s="31">
        <v>2</v>
      </c>
      <c r="C14" s="31" t="s">
        <v>29</v>
      </c>
      <c r="D14" s="31" t="s">
        <v>38</v>
      </c>
      <c r="E14" s="31" t="s">
        <v>36</v>
      </c>
      <c r="F14" s="31" t="s">
        <v>39</v>
      </c>
      <c r="G14" s="34"/>
      <c r="H14" s="35"/>
    </row>
    <row r="16" spans="1:8">
      <c r="A16" s="26">
        <f>A10+1</f>
        <v>3</v>
      </c>
      <c r="B16" s="25" t="str">
        <f ca="1">OFFSET(TB一覧!$B$3,TB定義!A16-1,0)</f>
        <v>M03</v>
      </c>
      <c r="C16" s="25" t="str">
        <f ca="1">OFFSET(TB一覧!$B$3,TB定義!A16-1,1)</f>
        <v>mst_手配先</v>
      </c>
    </row>
    <row r="17" spans="1:8">
      <c r="B17" s="27" t="s">
        <v>23</v>
      </c>
      <c r="C17" s="28"/>
      <c r="D17" s="29"/>
      <c r="E17" s="27" t="s">
        <v>24</v>
      </c>
      <c r="F17" s="28"/>
      <c r="G17" s="28"/>
      <c r="H17" s="29"/>
    </row>
    <row r="18" spans="1:8">
      <c r="B18" s="27" t="s">
        <v>5</v>
      </c>
      <c r="C18" s="27" t="s">
        <v>25</v>
      </c>
      <c r="D18" s="27" t="s">
        <v>26</v>
      </c>
      <c r="E18" s="27" t="s">
        <v>27</v>
      </c>
      <c r="F18" s="27" t="s">
        <v>26</v>
      </c>
      <c r="G18" s="27" t="s">
        <v>28</v>
      </c>
      <c r="H18" s="30" t="s">
        <v>9</v>
      </c>
    </row>
    <row r="19" spans="1:8">
      <c r="B19" s="31">
        <v>1</v>
      </c>
      <c r="C19" s="31" t="s">
        <v>29</v>
      </c>
      <c r="D19" s="31" t="s">
        <v>147</v>
      </c>
      <c r="E19" s="31" t="s">
        <v>42</v>
      </c>
      <c r="F19" s="31" t="s">
        <v>147</v>
      </c>
      <c r="G19" s="32"/>
      <c r="H19" s="33"/>
    </row>
    <row r="20" spans="1:8">
      <c r="B20" s="31">
        <v>2</v>
      </c>
      <c r="C20" s="31" t="s">
        <v>29</v>
      </c>
      <c r="D20" s="31" t="s">
        <v>149</v>
      </c>
      <c r="E20" s="31" t="s">
        <v>42</v>
      </c>
      <c r="F20" s="31" t="s">
        <v>149</v>
      </c>
      <c r="G20" s="32"/>
      <c r="H20" s="33"/>
    </row>
    <row r="22" spans="1:8">
      <c r="A22" s="26">
        <f>A16+1</f>
        <v>4</v>
      </c>
      <c r="B22" s="25" t="str">
        <f ca="1">OFFSET(TB一覧!$B$3,TB定義!A22-1,0)</f>
        <v>M03</v>
      </c>
      <c r="C22" s="25" t="str">
        <f ca="1">OFFSET(TB一覧!$B$3,TB定義!A22-1,1)</f>
        <v>Calendar</v>
      </c>
    </row>
    <row r="23" spans="1:8">
      <c r="B23" s="27" t="s">
        <v>23</v>
      </c>
      <c r="C23" s="28"/>
      <c r="D23" s="29"/>
      <c r="E23" s="27" t="s">
        <v>24</v>
      </c>
      <c r="F23" s="28"/>
      <c r="G23" s="28"/>
      <c r="H23" s="29"/>
    </row>
    <row r="24" spans="1:8">
      <c r="B24" s="27" t="s">
        <v>5</v>
      </c>
      <c r="C24" s="27" t="s">
        <v>25</v>
      </c>
      <c r="D24" s="27" t="s">
        <v>26</v>
      </c>
      <c r="E24" s="27" t="s">
        <v>27</v>
      </c>
      <c r="F24" s="27" t="s">
        <v>26</v>
      </c>
      <c r="G24" s="27" t="s">
        <v>28</v>
      </c>
      <c r="H24" s="30" t="s">
        <v>9</v>
      </c>
    </row>
    <row r="25" spans="1:8">
      <c r="B25" s="31">
        <v>1</v>
      </c>
      <c r="C25" s="31" t="s">
        <v>49</v>
      </c>
      <c r="D25" s="31" t="s">
        <v>83</v>
      </c>
      <c r="E25" s="31" t="s">
        <v>97</v>
      </c>
      <c r="F25" s="31" t="s">
        <v>97</v>
      </c>
      <c r="G25" s="32" t="s">
        <v>119</v>
      </c>
      <c r="H25" s="33"/>
    </row>
    <row r="26" spans="1:8">
      <c r="B26" s="31">
        <v>2</v>
      </c>
      <c r="C26" s="31" t="s">
        <v>49</v>
      </c>
      <c r="D26" s="31" t="s">
        <v>84</v>
      </c>
      <c r="E26" s="31" t="s">
        <v>97</v>
      </c>
      <c r="F26" s="31" t="s">
        <v>97</v>
      </c>
      <c r="G26" s="32" t="s">
        <v>120</v>
      </c>
      <c r="H26" s="33"/>
    </row>
    <row r="27" spans="1:8">
      <c r="B27" s="31">
        <v>3</v>
      </c>
      <c r="C27" s="31" t="s">
        <v>49</v>
      </c>
      <c r="D27" s="31" t="s">
        <v>85</v>
      </c>
      <c r="E27" s="31" t="s">
        <v>97</v>
      </c>
      <c r="F27" s="31" t="s">
        <v>97</v>
      </c>
      <c r="G27" s="32" t="s">
        <v>121</v>
      </c>
      <c r="H27" s="33"/>
    </row>
    <row r="28" spans="1:8">
      <c r="B28" s="31">
        <v>4</v>
      </c>
      <c r="C28" s="31" t="s">
        <v>49</v>
      </c>
      <c r="D28" s="31" t="s">
        <v>86</v>
      </c>
      <c r="E28" s="31" t="s">
        <v>97</v>
      </c>
      <c r="F28" s="31" t="s">
        <v>97</v>
      </c>
      <c r="G28" s="32" t="s">
        <v>122</v>
      </c>
      <c r="H28" s="33"/>
    </row>
    <row r="29" spans="1:8">
      <c r="B29" s="31">
        <v>5</v>
      </c>
      <c r="C29" s="31" t="s">
        <v>49</v>
      </c>
      <c r="D29" s="31" t="s">
        <v>87</v>
      </c>
      <c r="E29" s="31" t="s">
        <v>97</v>
      </c>
      <c r="F29" s="31" t="s">
        <v>97</v>
      </c>
      <c r="G29" s="32" t="s">
        <v>123</v>
      </c>
      <c r="H29" s="33"/>
    </row>
    <row r="30" spans="1:8">
      <c r="B30" s="31">
        <v>6</v>
      </c>
      <c r="C30" s="31" t="s">
        <v>49</v>
      </c>
      <c r="D30" s="31" t="s">
        <v>88</v>
      </c>
      <c r="E30" s="31" t="s">
        <v>97</v>
      </c>
      <c r="F30" s="31" t="s">
        <v>97</v>
      </c>
      <c r="G30" s="32" t="s">
        <v>124</v>
      </c>
      <c r="H30" s="33"/>
    </row>
    <row r="31" spans="1:8">
      <c r="B31" s="31">
        <v>7</v>
      </c>
      <c r="C31" s="31" t="s">
        <v>49</v>
      </c>
      <c r="D31" s="31" t="s">
        <v>89</v>
      </c>
      <c r="E31" s="31" t="s">
        <v>97</v>
      </c>
      <c r="F31" s="31" t="s">
        <v>97</v>
      </c>
      <c r="G31" s="32" t="s">
        <v>125</v>
      </c>
      <c r="H31" s="33"/>
    </row>
    <row r="32" spans="1:8">
      <c r="B32" s="31">
        <v>8</v>
      </c>
      <c r="C32" s="31" t="s">
        <v>49</v>
      </c>
      <c r="D32" s="31" t="s">
        <v>90</v>
      </c>
      <c r="E32" s="31" t="s">
        <v>97</v>
      </c>
      <c r="F32" s="31" t="s">
        <v>97</v>
      </c>
      <c r="G32" s="32" t="s">
        <v>126</v>
      </c>
      <c r="H32" s="33"/>
    </row>
    <row r="33" spans="1:8">
      <c r="B33" s="31">
        <v>9</v>
      </c>
      <c r="C33" s="31" t="s">
        <v>49</v>
      </c>
      <c r="D33" s="31" t="s">
        <v>91</v>
      </c>
      <c r="E33" s="31" t="s">
        <v>97</v>
      </c>
      <c r="F33" s="31" t="s">
        <v>97</v>
      </c>
      <c r="G33" s="32" t="s">
        <v>127</v>
      </c>
      <c r="H33" s="33"/>
    </row>
    <row r="34" spans="1:8">
      <c r="B34" s="31">
        <v>10</v>
      </c>
      <c r="C34" s="31" t="s">
        <v>49</v>
      </c>
      <c r="D34" s="31" t="s">
        <v>92</v>
      </c>
      <c r="E34" s="31" t="s">
        <v>97</v>
      </c>
      <c r="F34" s="31" t="s">
        <v>97</v>
      </c>
      <c r="G34" s="32" t="s">
        <v>128</v>
      </c>
      <c r="H34" s="33"/>
    </row>
    <row r="35" spans="1:8">
      <c r="B35" s="31">
        <v>11</v>
      </c>
      <c r="C35" s="31" t="s">
        <v>49</v>
      </c>
      <c r="D35" s="31" t="s">
        <v>93</v>
      </c>
      <c r="E35" s="31" t="s">
        <v>97</v>
      </c>
      <c r="F35" s="31" t="s">
        <v>97</v>
      </c>
      <c r="G35" s="32" t="s">
        <v>129</v>
      </c>
      <c r="H35" s="33"/>
    </row>
    <row r="36" spans="1:8">
      <c r="B36" s="31">
        <v>12</v>
      </c>
      <c r="C36" s="31" t="s">
        <v>49</v>
      </c>
      <c r="D36" s="31" t="s">
        <v>94</v>
      </c>
      <c r="E36" s="31" t="s">
        <v>97</v>
      </c>
      <c r="F36" s="31" t="s">
        <v>97</v>
      </c>
      <c r="G36" s="32" t="s">
        <v>130</v>
      </c>
      <c r="H36" s="33"/>
    </row>
    <row r="37" spans="1:8">
      <c r="B37" s="31">
        <v>13</v>
      </c>
      <c r="C37" s="31" t="s">
        <v>49</v>
      </c>
      <c r="D37" s="31" t="s">
        <v>95</v>
      </c>
      <c r="E37" s="31" t="s">
        <v>97</v>
      </c>
      <c r="F37" s="31" t="s">
        <v>97</v>
      </c>
      <c r="G37" s="32" t="s">
        <v>131</v>
      </c>
      <c r="H37" s="33"/>
    </row>
    <row r="38" spans="1:8">
      <c r="B38" s="31">
        <v>14</v>
      </c>
      <c r="C38" s="31" t="s">
        <v>49</v>
      </c>
      <c r="D38" s="31" t="s">
        <v>96</v>
      </c>
      <c r="E38" s="31" t="s">
        <v>97</v>
      </c>
      <c r="F38" s="31" t="s">
        <v>97</v>
      </c>
      <c r="G38" s="32" t="s">
        <v>132</v>
      </c>
      <c r="H38" s="35"/>
    </row>
    <row r="40" spans="1:8">
      <c r="A40" s="26">
        <f>A22+1</f>
        <v>5</v>
      </c>
      <c r="B40" s="25" t="str">
        <f ca="1">OFFSET(TB一覧!$B$3,TB定義!A40-1,0)</f>
        <v>T01</v>
      </c>
      <c r="C40" s="25" t="str">
        <f ca="1">OFFSET(TB一覧!$B$3,TB定義!A40-1,1)</f>
        <v>STOP_LOG</v>
      </c>
    </row>
    <row r="41" spans="1:8">
      <c r="B41" s="27" t="s">
        <v>23</v>
      </c>
      <c r="C41" s="28"/>
      <c r="D41" s="29"/>
      <c r="E41" s="27" t="s">
        <v>24</v>
      </c>
      <c r="F41" s="28"/>
      <c r="G41" s="28"/>
      <c r="H41" s="29"/>
    </row>
    <row r="42" spans="1:8">
      <c r="B42" s="27" t="s">
        <v>5</v>
      </c>
      <c r="C42" s="27" t="s">
        <v>25</v>
      </c>
      <c r="D42" s="27" t="s">
        <v>26</v>
      </c>
      <c r="E42" s="27" t="s">
        <v>27</v>
      </c>
      <c r="F42" s="27" t="s">
        <v>26</v>
      </c>
      <c r="G42" s="27" t="s">
        <v>28</v>
      </c>
      <c r="H42" s="30" t="s">
        <v>9</v>
      </c>
    </row>
    <row r="43" spans="1:8">
      <c r="B43" s="31">
        <v>1</v>
      </c>
      <c r="C43" s="31" t="s">
        <v>29</v>
      </c>
      <c r="D43" s="31" t="s">
        <v>50</v>
      </c>
      <c r="E43" s="31" t="s">
        <v>133</v>
      </c>
      <c r="F43" s="31" t="s">
        <v>50</v>
      </c>
      <c r="G43" s="36" t="s">
        <v>42</v>
      </c>
      <c r="H43" s="37"/>
    </row>
    <row r="44" spans="1:8">
      <c r="B44" s="31">
        <v>2</v>
      </c>
      <c r="C44" s="31" t="s">
        <v>29</v>
      </c>
      <c r="D44" s="31" t="s">
        <v>40</v>
      </c>
      <c r="E44" s="31" t="s">
        <v>133</v>
      </c>
      <c r="F44" s="31" t="s">
        <v>41</v>
      </c>
      <c r="G44" s="36" t="s">
        <v>42</v>
      </c>
      <c r="H44" s="37"/>
    </row>
    <row r="45" spans="1:8">
      <c r="B45" s="31">
        <v>3</v>
      </c>
      <c r="C45" s="31" t="s">
        <v>49</v>
      </c>
      <c r="D45" s="31" t="s">
        <v>47</v>
      </c>
      <c r="E45" s="31" t="s">
        <v>133</v>
      </c>
      <c r="F45" s="36" t="s">
        <v>42</v>
      </c>
      <c r="G45" s="36" t="s">
        <v>134</v>
      </c>
      <c r="H45" s="37" t="s">
        <v>65</v>
      </c>
    </row>
    <row r="46" spans="1:8">
      <c r="B46" s="31">
        <v>16</v>
      </c>
      <c r="C46" s="31" t="s">
        <v>49</v>
      </c>
      <c r="D46" s="31" t="s">
        <v>137</v>
      </c>
      <c r="E46" s="31" t="s">
        <v>133</v>
      </c>
      <c r="F46" s="36" t="s">
        <v>42</v>
      </c>
      <c r="G46" s="36" t="s">
        <v>159</v>
      </c>
      <c r="H46" s="42"/>
    </row>
    <row r="47" spans="1:8">
      <c r="B47" s="31">
        <v>17</v>
      </c>
      <c r="C47" s="31" t="s">
        <v>49</v>
      </c>
      <c r="D47" s="31" t="s">
        <v>138</v>
      </c>
      <c r="E47" s="31" t="s">
        <v>133</v>
      </c>
      <c r="F47" s="36" t="s">
        <v>42</v>
      </c>
      <c r="G47" s="36" t="s">
        <v>162</v>
      </c>
      <c r="H47" s="42"/>
    </row>
    <row r="48" spans="1:8" ht="135">
      <c r="B48" s="31">
        <v>4</v>
      </c>
      <c r="C48" s="31" t="s">
        <v>49</v>
      </c>
      <c r="D48" s="31" t="s">
        <v>48</v>
      </c>
      <c r="E48" s="31" t="s">
        <v>133</v>
      </c>
      <c r="F48" s="36" t="s">
        <v>42</v>
      </c>
      <c r="G48" s="38" t="s">
        <v>154</v>
      </c>
      <c r="H48" s="37" t="s">
        <v>135</v>
      </c>
    </row>
    <row r="49" spans="1:8" ht="135">
      <c r="B49" s="31">
        <v>5</v>
      </c>
      <c r="C49" s="31" t="s">
        <v>49</v>
      </c>
      <c r="D49" s="31" t="s">
        <v>46</v>
      </c>
      <c r="E49" s="31" t="s">
        <v>133</v>
      </c>
      <c r="F49" s="36" t="s">
        <v>42</v>
      </c>
      <c r="G49" s="38" t="s">
        <v>150</v>
      </c>
      <c r="H49" s="37" t="s">
        <v>66</v>
      </c>
    </row>
    <row r="50" spans="1:8">
      <c r="B50" s="31">
        <v>6</v>
      </c>
      <c r="C50" s="31" t="s">
        <v>29</v>
      </c>
      <c r="D50" s="31" t="s">
        <v>0</v>
      </c>
      <c r="E50" s="31" t="s">
        <v>133</v>
      </c>
      <c r="F50" s="31" t="s">
        <v>0</v>
      </c>
      <c r="G50" s="36" t="s">
        <v>42</v>
      </c>
      <c r="H50" s="37"/>
    </row>
    <row r="51" spans="1:8" ht="165">
      <c r="B51" s="31">
        <v>7</v>
      </c>
      <c r="C51" s="31" t="s">
        <v>49</v>
      </c>
      <c r="D51" s="31" t="s">
        <v>53</v>
      </c>
      <c r="E51" s="31" t="s">
        <v>133</v>
      </c>
      <c r="F51" s="36" t="s">
        <v>42</v>
      </c>
      <c r="G51" s="38" t="s">
        <v>153</v>
      </c>
      <c r="H51" s="37" t="s">
        <v>63</v>
      </c>
    </row>
    <row r="52" spans="1:8">
      <c r="B52" s="31">
        <v>8</v>
      </c>
      <c r="C52" s="31" t="s">
        <v>29</v>
      </c>
      <c r="D52" s="32" t="s">
        <v>43</v>
      </c>
      <c r="E52" s="32" t="s">
        <v>133</v>
      </c>
      <c r="F52" s="32" t="s">
        <v>43</v>
      </c>
      <c r="G52" s="36" t="s">
        <v>42</v>
      </c>
      <c r="H52" s="37"/>
    </row>
    <row r="53" spans="1:8">
      <c r="B53" s="31">
        <v>9</v>
      </c>
      <c r="C53" s="31" t="s">
        <v>49</v>
      </c>
      <c r="D53" s="31" t="s">
        <v>52</v>
      </c>
      <c r="E53" s="31" t="s">
        <v>133</v>
      </c>
      <c r="G53" s="36" t="s">
        <v>155</v>
      </c>
      <c r="H53" s="42" t="s">
        <v>67</v>
      </c>
    </row>
    <row r="54" spans="1:8">
      <c r="B54" s="31">
        <v>10</v>
      </c>
      <c r="C54" s="31" t="s">
        <v>29</v>
      </c>
      <c r="D54" s="31" t="s">
        <v>158</v>
      </c>
      <c r="E54" s="31" t="s">
        <v>161</v>
      </c>
      <c r="F54" s="31" t="s">
        <v>160</v>
      </c>
      <c r="G54" s="36" t="s">
        <v>42</v>
      </c>
      <c r="H54" s="42"/>
    </row>
    <row r="55" spans="1:8">
      <c r="B55" s="31">
        <v>11</v>
      </c>
      <c r="C55" s="31" t="s">
        <v>29</v>
      </c>
      <c r="D55" s="31" t="s">
        <v>156</v>
      </c>
      <c r="E55" s="31" t="s">
        <v>133</v>
      </c>
      <c r="F55" s="31" t="s">
        <v>156</v>
      </c>
      <c r="G55" s="36" t="s">
        <v>42</v>
      </c>
      <c r="H55" s="42"/>
    </row>
    <row r="56" spans="1:8">
      <c r="B56" s="31">
        <v>12</v>
      </c>
      <c r="C56" s="31" t="s">
        <v>29</v>
      </c>
      <c r="D56" s="31" t="s">
        <v>157</v>
      </c>
      <c r="E56" s="31" t="s">
        <v>144</v>
      </c>
      <c r="F56" s="36" t="s">
        <v>42</v>
      </c>
      <c r="G56" s="36" t="s">
        <v>174</v>
      </c>
      <c r="H56" s="42"/>
    </row>
    <row r="57" spans="1:8">
      <c r="B57" s="31">
        <v>13</v>
      </c>
      <c r="C57" s="31" t="s">
        <v>29</v>
      </c>
      <c r="D57" s="32" t="s">
        <v>152</v>
      </c>
      <c r="E57" s="32" t="s">
        <v>133</v>
      </c>
      <c r="F57" s="32" t="s">
        <v>152</v>
      </c>
      <c r="G57" s="36" t="s">
        <v>42</v>
      </c>
      <c r="H57" s="37" t="s">
        <v>44</v>
      </c>
    </row>
    <row r="58" spans="1:8" ht="75">
      <c r="B58" s="31">
        <v>14</v>
      </c>
      <c r="C58" s="31" t="s">
        <v>49</v>
      </c>
      <c r="D58" s="31" t="s">
        <v>51</v>
      </c>
      <c r="E58" s="31" t="s">
        <v>133</v>
      </c>
      <c r="F58" s="36" t="s">
        <v>42</v>
      </c>
      <c r="G58" s="38" t="s">
        <v>151</v>
      </c>
      <c r="H58" s="37" t="s">
        <v>64</v>
      </c>
    </row>
    <row r="59" spans="1:8">
      <c r="B59" s="31">
        <v>15</v>
      </c>
      <c r="C59" s="31" t="s">
        <v>29</v>
      </c>
      <c r="D59" s="32" t="s">
        <v>45</v>
      </c>
      <c r="E59" s="32" t="s">
        <v>133</v>
      </c>
      <c r="F59" s="32" t="s">
        <v>45</v>
      </c>
      <c r="G59" s="36" t="s">
        <v>42</v>
      </c>
      <c r="H59" s="37"/>
    </row>
    <row r="61" spans="1:8">
      <c r="A61" s="26">
        <f>A40+1</f>
        <v>6</v>
      </c>
      <c r="B61" s="25" t="str">
        <f ca="1">OFFSET(TB一覧!$B$3,TB定義!A61-1,0)</f>
        <v>T02</v>
      </c>
      <c r="C61" s="25" t="str">
        <f ca="1">OFFSET(TB一覧!$B$3,TB定義!A61-1,1)</f>
        <v>PROD_LOG</v>
      </c>
    </row>
    <row r="62" spans="1:8">
      <c r="B62" s="27" t="s">
        <v>23</v>
      </c>
      <c r="C62" s="28"/>
      <c r="D62" s="29"/>
      <c r="E62" s="27" t="s">
        <v>24</v>
      </c>
      <c r="F62" s="28"/>
      <c r="G62" s="28"/>
      <c r="H62" s="29"/>
    </row>
    <row r="63" spans="1:8">
      <c r="B63" s="27" t="s">
        <v>5</v>
      </c>
      <c r="C63" s="27" t="s">
        <v>25</v>
      </c>
      <c r="D63" s="27" t="s">
        <v>26</v>
      </c>
      <c r="E63" s="27" t="s">
        <v>27</v>
      </c>
      <c r="F63" s="27" t="s">
        <v>26</v>
      </c>
      <c r="G63" s="27" t="s">
        <v>28</v>
      </c>
      <c r="H63" s="30" t="s">
        <v>9</v>
      </c>
    </row>
    <row r="64" spans="1:8">
      <c r="B64" s="31">
        <v>1</v>
      </c>
      <c r="C64" s="31" t="s">
        <v>29</v>
      </c>
      <c r="D64" s="32" t="s">
        <v>50</v>
      </c>
      <c r="E64" s="32" t="s">
        <v>136</v>
      </c>
      <c r="F64" s="32" t="s">
        <v>50</v>
      </c>
      <c r="G64" s="36" t="s">
        <v>42</v>
      </c>
      <c r="H64" s="37"/>
    </row>
    <row r="65" spans="2:8">
      <c r="B65" s="31">
        <v>2</v>
      </c>
      <c r="C65" s="31" t="s">
        <v>29</v>
      </c>
      <c r="D65" s="31" t="s">
        <v>40</v>
      </c>
      <c r="E65" s="31" t="s">
        <v>133</v>
      </c>
      <c r="F65" s="31" t="s">
        <v>41</v>
      </c>
      <c r="G65" s="36" t="s">
        <v>42</v>
      </c>
      <c r="H65" s="37"/>
    </row>
    <row r="66" spans="2:8">
      <c r="B66" s="31">
        <v>3</v>
      </c>
      <c r="C66" s="31" t="s">
        <v>49</v>
      </c>
      <c r="D66" s="32" t="s">
        <v>58</v>
      </c>
      <c r="E66" s="32" t="s">
        <v>136</v>
      </c>
      <c r="F66" s="36" t="s">
        <v>42</v>
      </c>
      <c r="G66" s="36" t="s">
        <v>180</v>
      </c>
      <c r="H66" s="37" t="s">
        <v>61</v>
      </c>
    </row>
    <row r="67" spans="2:8" ht="30">
      <c r="B67" s="31">
        <v>4</v>
      </c>
      <c r="C67" s="32" t="s">
        <v>29</v>
      </c>
      <c r="D67" s="32" t="s">
        <v>59</v>
      </c>
      <c r="E67" s="32" t="s">
        <v>136</v>
      </c>
      <c r="F67" s="32" t="s">
        <v>59</v>
      </c>
      <c r="G67" s="36" t="s">
        <v>60</v>
      </c>
      <c r="H67" s="42" t="s">
        <v>69</v>
      </c>
    </row>
    <row r="68" spans="2:8">
      <c r="B68" s="31">
        <v>5</v>
      </c>
      <c r="C68" s="31" t="s">
        <v>49</v>
      </c>
      <c r="D68" s="32" t="s">
        <v>47</v>
      </c>
      <c r="E68" s="32" t="s">
        <v>136</v>
      </c>
      <c r="F68" s="36" t="s">
        <v>42</v>
      </c>
      <c r="G68" s="36" t="s">
        <v>181</v>
      </c>
      <c r="H68" s="37" t="s">
        <v>65</v>
      </c>
    </row>
    <row r="69" spans="2:8">
      <c r="B69" s="31">
        <v>6</v>
      </c>
      <c r="C69" s="32" t="s">
        <v>29</v>
      </c>
      <c r="D69" s="32" t="s">
        <v>175</v>
      </c>
      <c r="E69" s="32" t="s">
        <v>136</v>
      </c>
      <c r="F69" s="36" t="s">
        <v>42</v>
      </c>
      <c r="G69" s="36" t="s">
        <v>176</v>
      </c>
      <c r="H69" s="37"/>
    </row>
    <row r="70" spans="2:8" ht="150">
      <c r="B70" s="31">
        <v>7</v>
      </c>
      <c r="C70" s="31" t="s">
        <v>49</v>
      </c>
      <c r="D70" s="32" t="s">
        <v>48</v>
      </c>
      <c r="E70" s="32" t="s">
        <v>136</v>
      </c>
      <c r="F70" s="36" t="s">
        <v>42</v>
      </c>
      <c r="G70" s="38" t="s">
        <v>182</v>
      </c>
      <c r="H70" s="42" t="s">
        <v>68</v>
      </c>
    </row>
    <row r="71" spans="2:8">
      <c r="B71" s="31">
        <v>8</v>
      </c>
      <c r="C71" s="31" t="s">
        <v>29</v>
      </c>
      <c r="D71" s="32" t="s">
        <v>0</v>
      </c>
      <c r="E71" s="32" t="s">
        <v>136</v>
      </c>
      <c r="F71" s="32" t="s">
        <v>54</v>
      </c>
      <c r="G71" s="36" t="s">
        <v>42</v>
      </c>
      <c r="H71" s="37"/>
    </row>
    <row r="72" spans="2:8" ht="165">
      <c r="B72" s="31">
        <v>9</v>
      </c>
      <c r="C72" s="31" t="s">
        <v>49</v>
      </c>
      <c r="D72" s="32" t="s">
        <v>53</v>
      </c>
      <c r="E72" s="32" t="s">
        <v>136</v>
      </c>
      <c r="F72" s="36" t="s">
        <v>42</v>
      </c>
      <c r="G72" s="38" t="s">
        <v>179</v>
      </c>
      <c r="H72" s="37" t="s">
        <v>62</v>
      </c>
    </row>
    <row r="73" spans="2:8">
      <c r="B73" s="31">
        <v>10</v>
      </c>
      <c r="C73" s="31" t="s">
        <v>29</v>
      </c>
      <c r="D73" s="32" t="s">
        <v>55</v>
      </c>
      <c r="E73" s="32" t="s">
        <v>136</v>
      </c>
      <c r="F73" s="32" t="s">
        <v>55</v>
      </c>
      <c r="G73" s="36" t="s">
        <v>42</v>
      </c>
      <c r="H73" s="37"/>
    </row>
    <row r="74" spans="2:8">
      <c r="B74" s="31">
        <v>11</v>
      </c>
      <c r="C74" s="32" t="s">
        <v>29</v>
      </c>
      <c r="D74" s="32" t="s">
        <v>158</v>
      </c>
      <c r="E74" s="31" t="s">
        <v>161</v>
      </c>
      <c r="F74" s="31" t="s">
        <v>160</v>
      </c>
      <c r="G74" s="36" t="s">
        <v>42</v>
      </c>
      <c r="H74" s="42"/>
    </row>
    <row r="75" spans="2:8">
      <c r="B75" s="31">
        <v>12</v>
      </c>
      <c r="C75" s="32" t="s">
        <v>29</v>
      </c>
      <c r="D75" s="32" t="s">
        <v>156</v>
      </c>
      <c r="E75" s="32" t="s">
        <v>136</v>
      </c>
      <c r="F75" s="32" t="s">
        <v>156</v>
      </c>
      <c r="G75" s="41" t="s">
        <v>42</v>
      </c>
      <c r="H75" s="42"/>
    </row>
    <row r="76" spans="2:8">
      <c r="B76" s="31">
        <v>13</v>
      </c>
      <c r="C76" s="32" t="s">
        <v>29</v>
      </c>
      <c r="D76" s="32" t="s">
        <v>148</v>
      </c>
      <c r="E76" s="32" t="s">
        <v>144</v>
      </c>
      <c r="F76" s="36" t="s">
        <v>42</v>
      </c>
      <c r="G76" s="36" t="s">
        <v>174</v>
      </c>
      <c r="H76" s="37"/>
    </row>
    <row r="77" spans="2:8">
      <c r="B77" s="31">
        <v>14</v>
      </c>
      <c r="C77" s="31" t="s">
        <v>29</v>
      </c>
      <c r="D77" s="32" t="s">
        <v>163</v>
      </c>
      <c r="E77" s="32" t="s">
        <v>136</v>
      </c>
      <c r="F77" s="32" t="s">
        <v>163</v>
      </c>
      <c r="G77" s="36" t="s">
        <v>42</v>
      </c>
      <c r="H77" s="39"/>
    </row>
    <row r="78" spans="2:8" s="40" customFormat="1">
      <c r="B78" s="31">
        <v>15</v>
      </c>
      <c r="C78" s="32" t="s">
        <v>29</v>
      </c>
      <c r="D78" s="32" t="s">
        <v>164</v>
      </c>
      <c r="E78" s="32" t="s">
        <v>136</v>
      </c>
      <c r="F78" s="32" t="s">
        <v>164</v>
      </c>
      <c r="G78" s="41" t="s">
        <v>42</v>
      </c>
      <c r="H78" s="33"/>
    </row>
    <row r="79" spans="2:8" s="40" customFormat="1">
      <c r="B79" s="31">
        <v>16</v>
      </c>
      <c r="C79" s="32" t="s">
        <v>29</v>
      </c>
      <c r="D79" s="32" t="s">
        <v>165</v>
      </c>
      <c r="E79" s="32" t="s">
        <v>136</v>
      </c>
      <c r="F79" s="32" t="s">
        <v>165</v>
      </c>
      <c r="G79" s="41" t="s">
        <v>42</v>
      </c>
      <c r="H79" s="33"/>
    </row>
    <row r="80" spans="2:8" ht="195">
      <c r="B80" s="31">
        <v>17</v>
      </c>
      <c r="C80" s="31" t="s">
        <v>49</v>
      </c>
      <c r="D80" s="32" t="s">
        <v>56</v>
      </c>
      <c r="E80" s="32" t="s">
        <v>136</v>
      </c>
      <c r="F80" s="36" t="s">
        <v>42</v>
      </c>
      <c r="G80" s="38" t="s">
        <v>177</v>
      </c>
      <c r="H80" s="37"/>
    </row>
    <row r="81" spans="2:8" s="40" customFormat="1">
      <c r="B81" s="31">
        <v>18</v>
      </c>
      <c r="C81" s="32" t="s">
        <v>29</v>
      </c>
      <c r="D81" s="32" t="s">
        <v>166</v>
      </c>
      <c r="E81" s="32" t="s">
        <v>136</v>
      </c>
      <c r="F81" s="32" t="s">
        <v>166</v>
      </c>
      <c r="G81" s="41" t="s">
        <v>42</v>
      </c>
      <c r="H81" s="33"/>
    </row>
    <row r="82" spans="2:8" s="40" customFormat="1">
      <c r="B82" s="31">
        <v>19</v>
      </c>
      <c r="C82" s="32" t="s">
        <v>29</v>
      </c>
      <c r="D82" s="32" t="s">
        <v>167</v>
      </c>
      <c r="E82" s="32" t="s">
        <v>136</v>
      </c>
      <c r="F82" s="32" t="s">
        <v>167</v>
      </c>
      <c r="G82" s="41" t="s">
        <v>42</v>
      </c>
      <c r="H82" s="33"/>
    </row>
    <row r="83" spans="2:8" s="40" customFormat="1">
      <c r="B83" s="31">
        <v>20</v>
      </c>
      <c r="C83" s="32" t="s">
        <v>29</v>
      </c>
      <c r="D83" s="32" t="s">
        <v>168</v>
      </c>
      <c r="E83" s="32" t="s">
        <v>136</v>
      </c>
      <c r="F83" s="32" t="s">
        <v>168</v>
      </c>
      <c r="G83" s="41" t="s">
        <v>42</v>
      </c>
      <c r="H83" s="33"/>
    </row>
    <row r="84" spans="2:8" s="40" customFormat="1">
      <c r="B84" s="31">
        <v>21</v>
      </c>
      <c r="C84" s="32" t="s">
        <v>29</v>
      </c>
      <c r="D84" s="32" t="s">
        <v>169</v>
      </c>
      <c r="E84" s="32" t="s">
        <v>136</v>
      </c>
      <c r="F84" s="32" t="s">
        <v>169</v>
      </c>
      <c r="G84" s="41" t="s">
        <v>42</v>
      </c>
      <c r="H84" s="33"/>
    </row>
    <row r="85" spans="2:8" s="40" customFormat="1">
      <c r="B85" s="31">
        <v>22</v>
      </c>
      <c r="C85" s="32" t="s">
        <v>29</v>
      </c>
      <c r="D85" s="32" t="s">
        <v>170</v>
      </c>
      <c r="E85" s="32" t="s">
        <v>136</v>
      </c>
      <c r="F85" s="32" t="s">
        <v>170</v>
      </c>
      <c r="G85" s="41" t="s">
        <v>42</v>
      </c>
      <c r="H85" s="33"/>
    </row>
    <row r="86" spans="2:8" s="40" customFormat="1">
      <c r="B86" s="31">
        <v>23</v>
      </c>
      <c r="C86" s="32" t="s">
        <v>29</v>
      </c>
      <c r="D86" s="32" t="s">
        <v>171</v>
      </c>
      <c r="E86" s="32" t="s">
        <v>136</v>
      </c>
      <c r="F86" s="32" t="s">
        <v>171</v>
      </c>
      <c r="G86" s="41" t="s">
        <v>42</v>
      </c>
      <c r="H86" s="33"/>
    </row>
    <row r="87" spans="2:8" s="40" customFormat="1">
      <c r="B87" s="31">
        <v>24</v>
      </c>
      <c r="C87" s="32" t="s">
        <v>29</v>
      </c>
      <c r="D87" s="32" t="s">
        <v>172</v>
      </c>
      <c r="E87" s="32" t="s">
        <v>136</v>
      </c>
      <c r="F87" s="32" t="s">
        <v>172</v>
      </c>
      <c r="G87" s="41" t="s">
        <v>42</v>
      </c>
      <c r="H87" s="33"/>
    </row>
    <row r="88" spans="2:8" ht="195">
      <c r="B88" s="31">
        <v>25</v>
      </c>
      <c r="C88" s="31" t="s">
        <v>49</v>
      </c>
      <c r="D88" s="32" t="s">
        <v>57</v>
      </c>
      <c r="E88" s="32" t="s">
        <v>136</v>
      </c>
      <c r="F88" s="36" t="s">
        <v>42</v>
      </c>
      <c r="G88" s="38" t="s">
        <v>178</v>
      </c>
      <c r="H88" s="37"/>
    </row>
    <row r="89" spans="2:8" s="40" customFormat="1">
      <c r="B89" s="31">
        <v>26</v>
      </c>
      <c r="C89" s="32" t="s">
        <v>29</v>
      </c>
      <c r="D89" s="32" t="s">
        <v>173</v>
      </c>
      <c r="E89" s="32" t="s">
        <v>136</v>
      </c>
      <c r="F89" s="32" t="s">
        <v>173</v>
      </c>
      <c r="G89" s="41" t="s">
        <v>42</v>
      </c>
      <c r="H89" s="33"/>
    </row>
  </sheetData>
  <phoneticPr fontId="2"/>
  <pageMargins left="0.70866141732283472" right="0.70866141732283472" top="0.74803149606299213" bottom="0.74803149606299213" header="0.31496062992125984" footer="0.31496062992125984"/>
  <pageSetup paperSize="9" scale="1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A4C52A01CEBFF40AE45D10DA927A547" ma:contentTypeVersion="11" ma:contentTypeDescription="新しいドキュメントを作成します。" ma:contentTypeScope="" ma:versionID="28d47f0a2ac0a03d0a141d0a7f638e0b">
  <xsd:schema xmlns:xsd="http://www.w3.org/2001/XMLSchema" xmlns:xs="http://www.w3.org/2001/XMLSchema" xmlns:p="http://schemas.microsoft.com/office/2006/metadata/properties" xmlns:ns2="b5c37a85-733b-43ca-bcfb-a65fb0b4108a" xmlns:ns3="c8b0e60a-39fc-4745-abaa-4e95a5ee6b11" targetNamespace="http://schemas.microsoft.com/office/2006/metadata/properties" ma:root="true" ma:fieldsID="4140b07b92875aa8fe6d384889a2cf43" ns2:_="" ns3:_="">
    <xsd:import namespace="b5c37a85-733b-43ca-bcfb-a65fb0b4108a"/>
    <xsd:import namespace="c8b0e60a-39fc-4745-abaa-4e95a5ee6b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37a85-733b-43ca-bcfb-a65fb0b410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1df4d3c-c4e6-4899-bdf0-e43e9c10e6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0e60a-39fc-4745-abaa-4e95a5ee6b1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552ab2-b0c2-4fb4-8523-feac73e70c20}" ma:internalName="TaxCatchAll" ma:showField="CatchAllData" ma:web="c8b0e60a-39fc-4745-abaa-4e95a5ee6b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c37a85-733b-43ca-bcfb-a65fb0b4108a">
      <Terms xmlns="http://schemas.microsoft.com/office/infopath/2007/PartnerControls"/>
    </lcf76f155ced4ddcb4097134ff3c332f>
    <TaxCatchAll xmlns="c8b0e60a-39fc-4745-abaa-4e95a5ee6b11" xsi:nil="true"/>
  </documentManagement>
</p:properties>
</file>

<file path=customXml/itemProps1.xml><?xml version="1.0" encoding="utf-8"?>
<ds:datastoreItem xmlns:ds="http://schemas.openxmlformats.org/officeDocument/2006/customXml" ds:itemID="{8623C6C2-EE68-41DA-ABFF-189D01D4D7B6}"/>
</file>

<file path=customXml/itemProps2.xml><?xml version="1.0" encoding="utf-8"?>
<ds:datastoreItem xmlns:ds="http://schemas.openxmlformats.org/officeDocument/2006/customXml" ds:itemID="{97D0DC7F-F394-4EB7-AA87-FA8645B13EA0}"/>
</file>

<file path=customXml/itemProps3.xml><?xml version="1.0" encoding="utf-8"?>
<ds:datastoreItem xmlns:ds="http://schemas.openxmlformats.org/officeDocument/2006/customXml" ds:itemID="{9D774EAA-9A8A-4521-A432-139C25E2E4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説明</vt:lpstr>
      <vt:lpstr>全体概要</vt:lpstr>
      <vt:lpstr>TB一覧</vt:lpstr>
      <vt:lpstr>TB定義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田中登仁</dc:creator>
  <cp:lastModifiedBy>泰行 新井</cp:lastModifiedBy>
  <cp:lastPrinted>2025-03-24T13:15:50Z</cp:lastPrinted>
  <dcterms:created xsi:type="dcterms:W3CDTF">2015-06-05T18:19:34Z</dcterms:created>
  <dcterms:modified xsi:type="dcterms:W3CDTF">2025-04-28T00:52:14Z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0x0101006A4C52A01CEBFF40AE45D10DA927A547</vt:lpwstr>
  </property>
</Properties>
</file>