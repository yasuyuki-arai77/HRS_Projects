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044476f1f1e8ffe5/PJ/202501_ヒロセ電機様/060_構成管理/03_JP1/"/>
    </mc:Choice>
  </mc:AlternateContent>
  <xr:revisionPtr revIDLastSave="217" documentId="13_ncr:1_{F3B9AE37-CC82-47CE-964B-3B333D395288}" xr6:coauthVersionLast="47" xr6:coauthVersionMax="47" xr10:uidLastSave="{A95E1843-FFB5-4184-B9A0-5DF0C98BE9F3}"/>
  <bookViews>
    <workbookView xWindow="-120" yWindow="-120" windowWidth="29040" windowHeight="15720" xr2:uid="{00000000-000D-0000-FFFF-FFFF00000000}"/>
  </bookViews>
  <sheets>
    <sheet name="更新履歴" sheetId="3" r:id="rId1"/>
    <sheet name="ジョブネット一覧" sheetId="1" r:id="rId2"/>
    <sheet name="PCジョブ一覧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5" l="1"/>
  <c r="I7" i="5"/>
  <c r="H9" i="5"/>
  <c r="H8" i="5"/>
  <c r="H7" i="5"/>
  <c r="H6" i="5"/>
  <c r="I9" i="5"/>
  <c r="I10" i="5"/>
  <c r="I11" i="5"/>
  <c r="I12" i="5"/>
  <c r="I13" i="5"/>
  <c r="I6" i="5"/>
  <c r="H10" i="5"/>
  <c r="H11" i="5"/>
  <c r="H12" i="5"/>
  <c r="H13" i="5"/>
  <c r="I4" i="5"/>
  <c r="I5" i="5"/>
  <c r="H4" i="5"/>
  <c r="H5" i="5"/>
  <c r="I3" i="5"/>
  <c r="H3" i="5"/>
  <c r="D3" i="5"/>
  <c r="B4" i="5"/>
  <c r="B5" i="5"/>
  <c r="B6" i="5"/>
  <c r="B7" i="5"/>
  <c r="B8" i="5"/>
  <c r="B9" i="5"/>
  <c r="B10" i="5"/>
  <c r="B11" i="5"/>
  <c r="B12" i="5"/>
  <c r="B13" i="5"/>
  <c r="B3" i="5"/>
  <c r="B5" i="1"/>
  <c r="B6" i="1"/>
  <c r="B7" i="1"/>
  <c r="B8" i="1"/>
  <c r="B9" i="1"/>
  <c r="B10" i="1"/>
  <c r="B11" i="1"/>
  <c r="B12" i="1"/>
  <c r="B13" i="1"/>
  <c r="B14" i="1"/>
  <c r="B4" i="1" l="1"/>
  <c r="B3" i="1"/>
</calcChain>
</file>

<file path=xl/sharedStrings.xml><?xml version="1.0" encoding="utf-8"?>
<sst xmlns="http://schemas.openxmlformats.org/spreadsheetml/2006/main" count="140" uniqueCount="103">
  <si>
    <t>JP1ジョブ更新履歴</t>
    <rPh sb="6" eb="8">
      <t>コウシン</t>
    </rPh>
    <rPh sb="8" eb="10">
      <t>リレキ</t>
    </rPh>
    <phoneticPr fontId="1"/>
  </si>
  <si>
    <t>更新内容</t>
    <rPh sb="0" eb="4">
      <t>コウシンナイヨウ</t>
    </rPh>
    <phoneticPr fontId="1"/>
  </si>
  <si>
    <t>日付</t>
    <rPh sb="0" eb="2">
      <t>ヒヅケ</t>
    </rPh>
    <phoneticPr fontId="1"/>
  </si>
  <si>
    <t>担当者</t>
    <rPh sb="0" eb="3">
      <t>タントウシャ</t>
    </rPh>
    <phoneticPr fontId="1"/>
  </si>
  <si>
    <t>ー</t>
    <phoneticPr fontId="1"/>
  </si>
  <si>
    <t>新規作成</t>
    <rPh sb="0" eb="4">
      <t>シンキサクセイ</t>
    </rPh>
    <phoneticPr fontId="1"/>
  </si>
  <si>
    <t>TL新井</t>
    <rPh sb="2" eb="4">
      <t>アライ</t>
    </rPh>
    <phoneticPr fontId="1"/>
  </si>
  <si>
    <t>TL上原</t>
    <rPh sb="2" eb="4">
      <t>ウエハラ</t>
    </rPh>
    <phoneticPr fontId="1"/>
  </si>
  <si>
    <t>ジョブネット一覧</t>
    <phoneticPr fontId="1"/>
  </si>
  <si>
    <t>固定</t>
    <rPh sb="0" eb="2">
      <t>コテイ</t>
    </rPh>
    <phoneticPr fontId="1"/>
  </si>
  <si>
    <t>No</t>
    <phoneticPr fontId="1"/>
  </si>
  <si>
    <t>ジョブネットID</t>
    <phoneticPr fontId="1"/>
  </si>
  <si>
    <t>親ジョブネット</t>
    <rPh sb="0" eb="1">
      <t>オヤ</t>
    </rPh>
    <phoneticPr fontId="1"/>
  </si>
  <si>
    <t>ファイル区分</t>
    <rPh sb="4" eb="6">
      <t>クブン</t>
    </rPh>
    <phoneticPr fontId="1"/>
  </si>
  <si>
    <t>実行サイクル</t>
    <rPh sb="0" eb="2">
      <t>ジッコウ</t>
    </rPh>
    <phoneticPr fontId="1"/>
  </si>
  <si>
    <t>起動時間</t>
    <rPh sb="0" eb="4">
      <t>キドウジカン</t>
    </rPh>
    <phoneticPr fontId="1"/>
  </si>
  <si>
    <t>インプットフォルダ</t>
    <phoneticPr fontId="1"/>
  </si>
  <si>
    <t>アウトプットフォルダ</t>
    <phoneticPr fontId="1"/>
  </si>
  <si>
    <t>エラー処理</t>
    <rPh sb="3" eb="5">
      <t>ショリ</t>
    </rPh>
    <phoneticPr fontId="1"/>
  </si>
  <si>
    <t>ユニット名</t>
    <rPh sb="4" eb="5">
      <t>メイ</t>
    </rPh>
    <phoneticPr fontId="1"/>
  </si>
  <si>
    <t>実行エージェント</t>
    <rPh sb="0" eb="2">
      <t>ジッコウ</t>
    </rPh>
    <phoneticPr fontId="1"/>
  </si>
  <si>
    <t>多重起動</t>
    <rPh sb="0" eb="4">
      <t>タジュウキドウ</t>
    </rPh>
    <phoneticPr fontId="1"/>
  </si>
  <si>
    <t>保存世帯数</t>
    <rPh sb="0" eb="5">
      <t>ホゾンセタイスウ</t>
    </rPh>
    <phoneticPr fontId="1"/>
  </si>
  <si>
    <t>用途</t>
    <rPh sb="0" eb="2">
      <t>ヨウト</t>
    </rPh>
    <phoneticPr fontId="1"/>
  </si>
  <si>
    <t>例</t>
    <rPh sb="0" eb="1">
      <t>レイ</t>
    </rPh>
    <phoneticPr fontId="1"/>
  </si>
  <si>
    <t>なし</t>
    <phoneticPr fontId="1"/>
  </si>
  <si>
    <t>マスタ</t>
    <phoneticPr fontId="1"/>
  </si>
  <si>
    <t>日次</t>
    <rPh sb="0" eb="2">
      <t>ニチジ</t>
    </rPh>
    <phoneticPr fontId="1"/>
  </si>
  <si>
    <t>\\192.168.38.33\Snowflake\IoT\Send\ライン一覧</t>
    <rPh sb="38" eb="40">
      <t>イチラン</t>
    </rPh>
    <phoneticPr fontId="1"/>
  </si>
  <si>
    <t>\\10.250.3.4\dataspider\IoT\Recv\ライン一覧</t>
    <rPh sb="36" eb="38">
      <t>イチラン</t>
    </rPh>
    <phoneticPr fontId="1"/>
  </si>
  <si>
    <t>ファイル移動およびメール送信
(※1)</t>
    <rPh sb="4" eb="6">
      <t>イドウ</t>
    </rPh>
    <rPh sb="12" eb="14">
      <t>ソウシン</t>
    </rPh>
    <phoneticPr fontId="1"/>
  </si>
  <si>
    <t>hdsp01</t>
  </si>
  <si>
    <t>不可能</t>
    <rPh sb="0" eb="3">
      <t>フカノウ</t>
    </rPh>
    <phoneticPr fontId="1"/>
  </si>
  <si>
    <t>10</t>
  </si>
  <si>
    <t>マスタファイルの上書き</t>
    <rPh sb="8" eb="10">
      <t>ウワガ</t>
    </rPh>
    <phoneticPr fontId="1"/>
  </si>
  <si>
    <t>HZDSN0100</t>
    <phoneticPr fontId="1"/>
  </si>
  <si>
    <t>トラン</t>
    <phoneticPr fontId="1"/>
  </si>
  <si>
    <t>\\10.250.3.4\dataspider\IoT\Recv\MC_LOG</t>
    <phoneticPr fontId="1"/>
  </si>
  <si>
    <t>MC_logをDataspider→Azureストレージへコピー</t>
    <phoneticPr fontId="1"/>
  </si>
  <si>
    <t>HZDSN0040</t>
    <phoneticPr fontId="1"/>
  </si>
  <si>
    <t>SUPPLIERマスタをDataSpider→Azureストレージへコピー</t>
    <phoneticPr fontId="1"/>
  </si>
  <si>
    <t>HZDSN0080</t>
    <phoneticPr fontId="1"/>
  </si>
  <si>
    <t>品質記録_ヘッダ_LOGをDataSpider→Azureストレージへコピー</t>
    <rPh sb="0" eb="2">
      <t>ヒンシツ</t>
    </rPh>
    <rPh sb="2" eb="4">
      <t>キロク</t>
    </rPh>
    <phoneticPr fontId="1"/>
  </si>
  <si>
    <t>HZDSN0090</t>
    <phoneticPr fontId="1"/>
  </si>
  <si>
    <t>品質記録_不良数_LOGをDataSpider→Azureストレージへコピー</t>
    <rPh sb="0" eb="2">
      <t>ヒンシツ</t>
    </rPh>
    <rPh sb="2" eb="4">
      <t>キロク</t>
    </rPh>
    <rPh sb="5" eb="7">
      <t>フリョウ</t>
    </rPh>
    <rPh sb="7" eb="8">
      <t>スウ</t>
    </rPh>
    <phoneticPr fontId="1"/>
  </si>
  <si>
    <t>【フォルダ構成】</t>
  </si>
  <si>
    <t>開発環境：\\192.168.40.97\Snowflake\&lt;システム名&gt;\Send\&lt;CSV名&gt;</t>
    <rPh sb="0" eb="2">
      <t>カイハツ</t>
    </rPh>
    <rPh sb="2" eb="4">
      <t>カンキョウ</t>
    </rPh>
    <rPh sb="36" eb="37">
      <t>メイ</t>
    </rPh>
    <rPh sb="48" eb="49">
      <t>メイ</t>
    </rPh>
    <phoneticPr fontId="1"/>
  </si>
  <si>
    <t>\\&lt;環境&gt;\Snowflake\Send\&lt;論理名&gt;\</t>
    <rPh sb="3" eb="5">
      <t>カンキョウ</t>
    </rPh>
    <phoneticPr fontId="1"/>
  </si>
  <si>
    <t>├─ (CSVファイル配置場所)</t>
  </si>
  <si>
    <t>├─ bak\yyyyMMdd     … 処理済みファイルの退避</t>
  </si>
  <si>
    <t>└─ error\                   … 異常ファイルの退避</t>
    <phoneticPr fontId="1"/>
  </si>
  <si>
    <t>【運用ルール】</t>
  </si>
  <si>
    <t xml:space="preserve">1. ファイルは論理ファイル単位で Send\&lt;論理名&gt;\ フォルダに配置する  </t>
  </si>
  <si>
    <t>　（例：Send\STOP_LOG\STOP_LOG_*.csv）</t>
  </si>
  <si>
    <t xml:space="preserve">2. ファイル名は論理名＋日付や番号などの可変部分を含むことができる  </t>
  </si>
  <si>
    <t>　（例：STOP_LOG_0416901.csv）</t>
  </si>
  <si>
    <t>3. マスタ系は常に最新1ファイルを上書き（過去ファイルは不要）</t>
  </si>
  <si>
    <t>4. トランザクション系は毎日複数ファイルを配置可（ワイルドカードで一括処理）</t>
  </si>
  <si>
    <t>5. バッチ処理後、処理済ファイルは Send\&lt;論理名&gt;\bak\yyyyMMdd\ に移動し、証跡として保管</t>
  </si>
  <si>
    <t>6. 処理に失敗したファイルは Send\&lt;論理名&gt;\error\ に移動し、エラー通知を送信（JP1連携またはメール）</t>
    <phoneticPr fontId="1"/>
  </si>
  <si>
    <t>※1ファイル移動およびメール送信</t>
    <rPh sb="6" eb="8">
      <t>イドウ</t>
    </rPh>
    <rPh sb="14" eb="16">
      <t>ソウシン</t>
    </rPh>
    <phoneticPr fontId="1"/>
  </si>
  <si>
    <t>　処理に失敗したファイルは Send\&lt;論理名&gt;\error\ に移動し、エラー通知を送信</t>
    <phoneticPr fontId="1"/>
  </si>
  <si>
    <t>※ジョブネット採番台帳は別途作成必要</t>
    <rPh sb="7" eb="9">
      <t>サイバン</t>
    </rPh>
    <rPh sb="9" eb="11">
      <t>ダイチョウ</t>
    </rPh>
    <rPh sb="12" eb="14">
      <t>ベット</t>
    </rPh>
    <rPh sb="14" eb="16">
      <t>サクセイ</t>
    </rPh>
    <rPh sb="16" eb="18">
      <t>ヒツヨウ</t>
    </rPh>
    <phoneticPr fontId="1"/>
  </si>
  <si>
    <t>PCジョブ一覧</t>
    <phoneticPr fontId="1"/>
  </si>
  <si>
    <t>コメント</t>
  </si>
  <si>
    <t>ワークパス</t>
  </si>
  <si>
    <t>実行ファイル名</t>
    <rPh sb="0" eb="2">
      <t>ジッコウ</t>
    </rPh>
    <rPh sb="6" eb="7">
      <t>メイ</t>
    </rPh>
    <phoneticPr fontId="1"/>
  </si>
  <si>
    <t>パラメータ</t>
  </si>
  <si>
    <t>標準出力ファイル名</t>
    <rPh sb="0" eb="2">
      <t>ヒョウジュン</t>
    </rPh>
    <rPh sb="2" eb="4">
      <t>シュツリョク</t>
    </rPh>
    <rPh sb="8" eb="9">
      <t>メイ</t>
    </rPh>
    <phoneticPr fontId="1"/>
  </si>
  <si>
    <t>標準エラー出力ファイル名</t>
    <rPh sb="0" eb="2">
      <t>ヒョウジュン</t>
    </rPh>
    <rPh sb="5" eb="7">
      <t>シュツリョク</t>
    </rPh>
    <rPh sb="11" eb="12">
      <t>メイ</t>
    </rPh>
    <phoneticPr fontId="1"/>
  </si>
  <si>
    <t>HZDSN010001</t>
    <phoneticPr fontId="1"/>
  </si>
  <si>
    <t>D:\Snowflake\IoT</t>
  </si>
  <si>
    <t>exec\bin\bat\HZDSN0100.bat</t>
    <phoneticPr fontId="1"/>
  </si>
  <si>
    <t>exec\bin\bat\HZDSN0100.ini</t>
    <phoneticPr fontId="1"/>
  </si>
  <si>
    <t>HZDSN004001</t>
    <phoneticPr fontId="1"/>
  </si>
  <si>
    <t>exec\bin\bat\HZDSN0040.bat</t>
    <phoneticPr fontId="1"/>
  </si>
  <si>
    <t>exec\bin\bat\HZDSN0040.ini</t>
    <phoneticPr fontId="1"/>
  </si>
  <si>
    <t>HZDSN008001</t>
    <phoneticPr fontId="1"/>
  </si>
  <si>
    <t>exec\bin\bat\HZDSN0080.bat</t>
    <phoneticPr fontId="1"/>
  </si>
  <si>
    <t>exec\bin\bat\HZDSN0080.ini</t>
    <phoneticPr fontId="1"/>
  </si>
  <si>
    <t>HZDSN009001</t>
    <phoneticPr fontId="1"/>
  </si>
  <si>
    <t>exec\bin\bat\HZDSN0090.bat</t>
    <phoneticPr fontId="1"/>
  </si>
  <si>
    <t>exec\bin\bat\HZDSN0090.ini</t>
    <phoneticPr fontId="1"/>
  </si>
  <si>
    <t>※ {yyyyMMdd_HHmmss} はバッチで付与するタイムスタンプ。JP1の出力欄には固定名は設定せず、バッチで 1&gt;&gt; / 2&gt;&gt; でリダイレクト。</t>
    <phoneticPr fontId="1"/>
  </si>
  <si>
    <t>例：exec\log\HZDSN0100_20250815_101530_out.log</t>
    <phoneticPr fontId="1"/>
  </si>
  <si>
    <t>例：exec\log\HZDSN0100_20250815_101530_err.log</t>
    <phoneticPr fontId="1"/>
  </si>
  <si>
    <t>\\192.168.38.32\Snowflake\IoT\Send\MC_LOG</t>
    <phoneticPr fontId="1"/>
  </si>
  <si>
    <t>HZDSN0100_250912R0</t>
    <phoneticPr fontId="1"/>
  </si>
  <si>
    <t>HZDSN0040_250912R0</t>
    <phoneticPr fontId="1"/>
  </si>
  <si>
    <t>HZDSN0080_250912R0</t>
    <phoneticPr fontId="1"/>
  </si>
  <si>
    <t>HZDSN0090_250912R0</t>
    <phoneticPr fontId="1"/>
  </si>
  <si>
    <t>HZDSNxxxx_yymmddR*</t>
    <phoneticPr fontId="1"/>
  </si>
  <si>
    <t>本番環境：\\192.168.38.32\Snowflake\&lt;システム名&gt;\Send\&lt;CSV名&gt;</t>
    <rPh sb="0" eb="2">
      <t>ホンバン</t>
    </rPh>
    <rPh sb="2" eb="4">
      <t>カンキョウ</t>
    </rPh>
    <rPh sb="36" eb="37">
      <t>メイ</t>
    </rPh>
    <rPh sb="48" eb="49">
      <t>メイ</t>
    </rPh>
    <phoneticPr fontId="1"/>
  </si>
  <si>
    <t>hdsp02</t>
    <phoneticPr fontId="1"/>
  </si>
  <si>
    <t>\\192.168.38.32\Snowflake\IoT\Send\SUPPLIERマスタ</t>
    <phoneticPr fontId="1"/>
  </si>
  <si>
    <t>\\10.250.3.4\dataspider\IoT\Recv\SUPPLIERマスタ</t>
    <phoneticPr fontId="1"/>
  </si>
  <si>
    <t>\\10.250.3.4\dataspider\IoT\Recv\品質記録_ヘッダ_LOG</t>
    <phoneticPr fontId="1"/>
  </si>
  <si>
    <t>\\192.168.38.32\Snowflake\IoT\Send\品質記録_ヘッダ_LOG</t>
    <phoneticPr fontId="1"/>
  </si>
  <si>
    <t>\\192.168.38.32\Snowflake\IoT\Send\品質記録_不良数_LOG</t>
    <phoneticPr fontId="1"/>
  </si>
  <si>
    <t>\\10.250.3.4\dataspider\IoT\Recv\品質記録_不良数_LOG</t>
    <phoneticPr fontId="1"/>
  </si>
  <si>
    <t>案件</t>
    <rPh sb="0" eb="2">
      <t>アンケン</t>
    </rPh>
    <phoneticPr fontId="1"/>
  </si>
  <si>
    <t>SnowFlake用JP1構築_暫定対応2</t>
    <phoneticPr fontId="1"/>
  </si>
  <si>
    <t>ジョブネット一覧に追加（HZDSN0040、HZDSN0080、HZDSN0090）
PCジョブ一覧を更新（HZDSN0100）
PCジョブ一覧に追加（HZDSN0040、HZDSN0080、HZDSN0090）</t>
    <rPh sb="9" eb="11">
      <t>ツイカ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</si>
</sst>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6"/>
      <color theme="1"/>
      <name val="Meiryo UI"/>
      <family val="3"/>
      <charset val="128"/>
    </font>
    <font>
      <u/>
      <sz val="11"/>
      <color theme="10"/>
      <name val="游ゴシック"/>
      <family val="2"/>
      <charset val="128"/>
      <scheme val="minor"/>
    </font>
    <font>
      <u/>
      <sz val="11"/>
      <color theme="10"/>
      <name val="Meiryo UI"/>
      <family val="3"/>
      <charset val="128"/>
    </font>
    <font>
      <sz val="11"/>
      <color theme="1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6" fillId="0" borderId="0">
      <alignment vertical="center"/>
    </xf>
  </cellStyleXfs>
  <cellXfs count="19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1" xfId="0" applyFont="1" applyBorder="1">
      <alignment vertical="center"/>
    </xf>
    <xf numFmtId="14" fontId="2" fillId="0" borderId="1" xfId="0" applyNumberFormat="1" applyFont="1" applyBorder="1">
      <alignment vertical="center"/>
    </xf>
    <xf numFmtId="0" fontId="2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 wrapText="1"/>
    </xf>
    <xf numFmtId="20" fontId="5" fillId="0" borderId="1" xfId="1" applyNumberFormat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3" borderId="1" xfId="0" applyFont="1" applyFill="1" applyBorder="1">
      <alignment vertical="center"/>
    </xf>
    <xf numFmtId="0" fontId="2" fillId="0" borderId="0" xfId="2" applyFont="1">
      <alignment vertical="center"/>
    </xf>
    <xf numFmtId="0" fontId="2" fillId="0" borderId="0" xfId="2" applyFont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20" fontId="2" fillId="3" borderId="1" xfId="0" applyNumberFormat="1" applyFont="1" applyFill="1" applyBorder="1" applyAlignment="1">
      <alignment horizontal="center" vertical="center" wrapText="1"/>
    </xf>
    <xf numFmtId="20" fontId="5" fillId="0" borderId="1" xfId="1" applyNumberFormat="1" applyFont="1" applyFill="1" applyBorder="1" applyAlignment="1">
      <alignment vertical="center" wrapText="1"/>
    </xf>
    <xf numFmtId="0" fontId="2" fillId="0" borderId="1" xfId="0" applyFont="1" applyBorder="1" applyAlignment="1">
      <alignment horizontal="left" vertical="top" wrapText="1"/>
    </xf>
  </cellXfs>
  <cellStyles count="3">
    <cellStyle name="ハイパーリンク" xfId="1" builtinId="8"/>
    <cellStyle name="標準" xfId="0" builtinId="0"/>
    <cellStyle name="標準 4" xfId="2" xr:uid="{089C5297-5481-4822-9419-B5FA662FC3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514350</xdr:colOff>
      <xdr:row>15</xdr:row>
      <xdr:rowOff>0</xdr:rowOff>
    </xdr:from>
    <xdr:to>
      <xdr:col>27</xdr:col>
      <xdr:colOff>225560</xdr:colOff>
      <xdr:row>37</xdr:row>
      <xdr:rowOff>71437</xdr:rowOff>
    </xdr:to>
    <xdr:pic>
      <xdr:nvPicPr>
        <xdr:cNvPr id="7" name="図 1">
          <a:extLst>
            <a:ext uri="{FF2B5EF4-FFF2-40B4-BE49-F238E27FC236}">
              <a16:creationId xmlns:a16="http://schemas.microsoft.com/office/drawing/2014/main" id="{D7D5FFA5-EEE0-44C8-A86D-7C5CC1C1E0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82550" y="4567238"/>
          <a:ext cx="7940810" cy="4471988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 editAs="oneCell">
    <xdr:from>
      <xdr:col>15</xdr:col>
      <xdr:colOff>466725</xdr:colOff>
      <xdr:row>1</xdr:row>
      <xdr:rowOff>9525</xdr:rowOff>
    </xdr:from>
    <xdr:to>
      <xdr:col>20</xdr:col>
      <xdr:colOff>637725</xdr:colOff>
      <xdr:row>14</xdr:row>
      <xdr:rowOff>51324</xdr:rowOff>
    </xdr:to>
    <xdr:pic>
      <xdr:nvPicPr>
        <xdr:cNvPr id="5" name="図 2">
          <a:extLst>
            <a:ext uri="{FF2B5EF4-FFF2-40B4-BE49-F238E27FC236}">
              <a16:creationId xmlns:a16="http://schemas.microsoft.com/office/drawing/2014/main" id="{09170ED7-FFB4-4780-BF03-1A07A4E0DC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34925" y="209550"/>
          <a:ext cx="3600000" cy="42423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156881</xdr:colOff>
      <xdr:row>12</xdr:row>
      <xdr:rowOff>66114</xdr:rowOff>
    </xdr:from>
    <xdr:to>
      <xdr:col>3</xdr:col>
      <xdr:colOff>2366682</xdr:colOff>
      <xdr:row>18</xdr:row>
      <xdr:rowOff>28014</xdr:rowOff>
    </xdr:to>
    <xdr:sp macro="" textlink="">
      <xdr:nvSpPr>
        <xdr:cNvPr id="2" name="吹き出し: 角を丸めた四角形 1">
          <a:extLst>
            <a:ext uri="{FF2B5EF4-FFF2-40B4-BE49-F238E27FC236}">
              <a16:creationId xmlns:a16="http://schemas.microsoft.com/office/drawing/2014/main" id="{DCE97A16-26D2-23E6-A740-5A9EED80B781}"/>
            </a:ext>
          </a:extLst>
        </xdr:cNvPr>
        <xdr:cNvSpPr/>
      </xdr:nvSpPr>
      <xdr:spPr>
        <a:xfrm>
          <a:off x="582705" y="2486585"/>
          <a:ext cx="3375212" cy="1172135"/>
        </a:xfrm>
        <a:prstGeom prst="wedgeRoundRectCallout">
          <a:avLst>
            <a:gd name="adj1" fmla="val -39333"/>
            <a:gd name="adj2" fmla="val -119132"/>
            <a:gd name="adj3" fmla="val 16667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ユニット名＝ジョブネット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ID+01</a:t>
          </a:r>
        </a:p>
        <a:p>
          <a:pPr algn="l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HCDC10100→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間違ったユニット名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これで実装済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</a:p>
        <a:p>
          <a:pPr algn="l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HZDSN010001→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正しいユニット名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file://10.250.3.4/dataspider/IoT/Recv/SUPPLIER&#12510;&#12473;&#12479;" TargetMode="External"/><Relationship Id="rId3" Type="http://schemas.openxmlformats.org/officeDocument/2006/relationships/hyperlink" Target="file://192.168.38.32/Snowflake/IoT/Send/MC_LOG" TargetMode="External"/><Relationship Id="rId7" Type="http://schemas.openxmlformats.org/officeDocument/2006/relationships/hyperlink" Target="file://192.168.38.32/Snowflake/IoT/Send/&#21697;&#36074;&#35352;&#37682;_&#19981;&#33391;&#25968;_LOG" TargetMode="External"/><Relationship Id="rId2" Type="http://schemas.openxmlformats.org/officeDocument/2006/relationships/hyperlink" Target="file://10.250.3.4/dataspider/IoT/Recv/&#12521;&#12452;&#12531;&#19968;&#35239;" TargetMode="External"/><Relationship Id="rId1" Type="http://schemas.openxmlformats.org/officeDocument/2006/relationships/hyperlink" Target="file://10.250.3.4/dataspider/IoT/Recv/MC_LOG" TargetMode="External"/><Relationship Id="rId6" Type="http://schemas.openxmlformats.org/officeDocument/2006/relationships/hyperlink" Target="file://192.168.38.32/Snowflake/IoT/Send/&#21697;&#36074;&#35352;&#37682;_&#12504;&#12483;&#12480;_LOG" TargetMode="External"/><Relationship Id="rId11" Type="http://schemas.openxmlformats.org/officeDocument/2006/relationships/drawing" Target="../drawings/drawing1.xml"/><Relationship Id="rId5" Type="http://schemas.openxmlformats.org/officeDocument/2006/relationships/hyperlink" Target="file://192.168.38.32/Snowflake/IoT/Send/SUPPLIER&#12510;&#12473;&#12479;" TargetMode="External"/><Relationship Id="rId10" Type="http://schemas.openxmlformats.org/officeDocument/2006/relationships/hyperlink" Target="file://10.250.3.4/dataspider/IoT/Recv/&#21697;&#36074;&#35352;&#37682;_&#19981;&#33391;&#25968;_LOG" TargetMode="External"/><Relationship Id="rId4" Type="http://schemas.openxmlformats.org/officeDocument/2006/relationships/hyperlink" Target="file://192.168.38.33/Snowflake/IoT/Send/&#12521;&#12452;&#12531;&#19968;&#35239;" TargetMode="External"/><Relationship Id="rId9" Type="http://schemas.openxmlformats.org/officeDocument/2006/relationships/hyperlink" Target="file://10.250.3.4/dataspider/IoT/Recv/&#21697;&#36074;&#35352;&#37682;_&#12504;&#12483;&#12480;_LOG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B5" sqref="B5"/>
    </sheetView>
  </sheetViews>
  <sheetFormatPr defaultRowHeight="15.75" x14ac:dyDescent="0.4"/>
  <cols>
    <col min="1" max="1" width="3.25" style="1" customWidth="1"/>
    <col min="2" max="2" width="32.25" style="1" bestFit="1" customWidth="1"/>
    <col min="3" max="3" width="58" style="1" customWidth="1"/>
    <col min="4" max="4" width="11.5" style="1" bestFit="1" customWidth="1"/>
    <col min="5" max="16384" width="9" style="1"/>
  </cols>
  <sheetData>
    <row r="1" spans="1:5" ht="21" x14ac:dyDescent="0.4">
      <c r="A1" s="2" t="s">
        <v>0</v>
      </c>
    </row>
    <row r="3" spans="1:5" x14ac:dyDescent="0.4">
      <c r="B3" s="5" t="s">
        <v>100</v>
      </c>
      <c r="C3" s="5" t="s">
        <v>1</v>
      </c>
      <c r="D3" s="5" t="s">
        <v>2</v>
      </c>
      <c r="E3" s="5" t="s">
        <v>3</v>
      </c>
    </row>
    <row r="4" spans="1:5" x14ac:dyDescent="0.4">
      <c r="B4" s="3" t="s">
        <v>4</v>
      </c>
      <c r="C4" s="3" t="s">
        <v>5</v>
      </c>
      <c r="D4" s="4">
        <v>45856</v>
      </c>
      <c r="E4" s="3" t="s">
        <v>6</v>
      </c>
    </row>
    <row r="5" spans="1:5" ht="47.25" x14ac:dyDescent="0.4">
      <c r="B5" s="3" t="s">
        <v>101</v>
      </c>
      <c r="C5" s="18" t="s">
        <v>102</v>
      </c>
      <c r="D5" s="4">
        <v>45899</v>
      </c>
      <c r="E5" s="3" t="s">
        <v>7</v>
      </c>
    </row>
    <row r="6" spans="1:5" x14ac:dyDescent="0.4">
      <c r="B6" s="3"/>
      <c r="C6" s="3"/>
      <c r="D6" s="3"/>
      <c r="E6" s="3"/>
    </row>
    <row r="7" spans="1:5" x14ac:dyDescent="0.4">
      <c r="B7" s="3"/>
      <c r="C7" s="3"/>
      <c r="D7" s="3"/>
      <c r="E7" s="3"/>
    </row>
    <row r="8" spans="1:5" x14ac:dyDescent="0.4">
      <c r="B8" s="3"/>
      <c r="C8" s="3"/>
      <c r="D8" s="3"/>
      <c r="E8" s="3"/>
    </row>
    <row r="9" spans="1:5" x14ac:dyDescent="0.4">
      <c r="B9" s="3"/>
      <c r="C9" s="3"/>
      <c r="D9" s="3"/>
      <c r="E9" s="3"/>
    </row>
    <row r="10" spans="1:5" x14ac:dyDescent="0.4">
      <c r="B10" s="3"/>
      <c r="C10" s="3"/>
      <c r="D10" s="3"/>
      <c r="E10" s="3"/>
    </row>
    <row r="11" spans="1:5" x14ac:dyDescent="0.4">
      <c r="B11" s="3"/>
      <c r="C11" s="3"/>
      <c r="D11" s="3"/>
      <c r="E11" s="3"/>
    </row>
    <row r="12" spans="1:5" x14ac:dyDescent="0.4">
      <c r="B12" s="3"/>
      <c r="C12" s="3"/>
      <c r="D12" s="3"/>
      <c r="E12" s="3"/>
    </row>
    <row r="13" spans="1:5" x14ac:dyDescent="0.4">
      <c r="B13" s="3"/>
      <c r="C13" s="3"/>
      <c r="D13" s="3"/>
      <c r="E13" s="3"/>
    </row>
    <row r="14" spans="1:5" x14ac:dyDescent="0.4">
      <c r="B14" s="3"/>
      <c r="C14" s="3"/>
      <c r="D14" s="3"/>
      <c r="E14" s="3"/>
    </row>
    <row r="15" spans="1:5" x14ac:dyDescent="0.4">
      <c r="B15" s="3"/>
      <c r="C15" s="3"/>
      <c r="D15" s="3"/>
      <c r="E15" s="3"/>
    </row>
    <row r="16" spans="1:5" x14ac:dyDescent="0.4">
      <c r="B16" s="3"/>
      <c r="C16" s="3"/>
      <c r="D16" s="3"/>
      <c r="E16" s="3"/>
    </row>
    <row r="17" spans="2:5" x14ac:dyDescent="0.4">
      <c r="B17" s="3"/>
      <c r="C17" s="3"/>
      <c r="D17" s="3"/>
      <c r="E17" s="3"/>
    </row>
    <row r="18" spans="2:5" x14ac:dyDescent="0.4">
      <c r="B18" s="3"/>
      <c r="C18" s="3"/>
      <c r="D18" s="3"/>
      <c r="E18" s="3"/>
    </row>
    <row r="19" spans="2:5" x14ac:dyDescent="0.4">
      <c r="B19" s="3"/>
      <c r="C19" s="3"/>
      <c r="D19" s="3"/>
      <c r="E19" s="3"/>
    </row>
    <row r="20" spans="2:5" x14ac:dyDescent="0.4">
      <c r="B20" s="3"/>
      <c r="C20" s="3"/>
      <c r="D20" s="3"/>
      <c r="E20" s="3"/>
    </row>
    <row r="21" spans="2:5" x14ac:dyDescent="0.4">
      <c r="B21" s="3"/>
      <c r="C21" s="3"/>
      <c r="D21" s="3"/>
      <c r="E21" s="3"/>
    </row>
    <row r="22" spans="2:5" x14ac:dyDescent="0.4">
      <c r="B22" s="3"/>
      <c r="C22" s="3"/>
      <c r="D22" s="3"/>
      <c r="E22" s="3"/>
    </row>
    <row r="23" spans="2:5" x14ac:dyDescent="0.4">
      <c r="B23" s="3"/>
      <c r="C23" s="3"/>
      <c r="D23" s="3"/>
      <c r="E23" s="3"/>
    </row>
    <row r="24" spans="2:5" x14ac:dyDescent="0.4">
      <c r="B24" s="3"/>
      <c r="C24" s="3"/>
      <c r="D24" s="3"/>
      <c r="E24" s="3"/>
    </row>
    <row r="25" spans="2:5" x14ac:dyDescent="0.4">
      <c r="B25" s="3"/>
      <c r="C25" s="3"/>
      <c r="D25" s="3"/>
      <c r="E25" s="3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6"/>
  <sheetViews>
    <sheetView zoomScale="85" zoomScaleNormal="85" workbookViewId="0">
      <pane ySplit="2" topLeftCell="A3" activePane="bottomLeft" state="frozen"/>
      <selection pane="bottomLeft"/>
    </sheetView>
  </sheetViews>
  <sheetFormatPr defaultRowHeight="15.75" x14ac:dyDescent="0.4"/>
  <cols>
    <col min="1" max="1" width="3.25" style="1" customWidth="1"/>
    <col min="2" max="2" width="4.25" style="1" bestFit="1" customWidth="1"/>
    <col min="3" max="3" width="12.125" style="1" bestFit="1" customWidth="1"/>
    <col min="4" max="4" width="10.75" style="1" bestFit="1" customWidth="1"/>
    <col min="5" max="5" width="10.75" style="1" customWidth="1"/>
    <col min="6" max="6" width="10.625" style="1" bestFit="1" customWidth="1"/>
    <col min="7" max="7" width="8.375" style="1" bestFit="1" customWidth="1"/>
    <col min="8" max="9" width="24.625" style="9" customWidth="1"/>
    <col min="10" max="10" width="24.25" style="1" customWidth="1"/>
    <col min="11" max="11" width="23" style="1" bestFit="1" customWidth="1"/>
    <col min="12" max="12" width="13.125" style="1" bestFit="1" customWidth="1"/>
    <col min="13" max="13" width="8.375" style="1" bestFit="1" customWidth="1"/>
    <col min="14" max="14" width="10.25" style="1" bestFit="1" customWidth="1"/>
    <col min="15" max="15" width="50.875" style="1" customWidth="1"/>
    <col min="16" max="16384" width="9" style="1"/>
  </cols>
  <sheetData>
    <row r="1" spans="1:15" x14ac:dyDescent="0.4">
      <c r="A1" s="1" t="s">
        <v>8</v>
      </c>
      <c r="J1" s="1" t="s">
        <v>9</v>
      </c>
      <c r="L1" s="1" t="s">
        <v>9</v>
      </c>
      <c r="M1" s="1" t="s">
        <v>9</v>
      </c>
      <c r="N1" s="1" t="s">
        <v>9</v>
      </c>
    </row>
    <row r="2" spans="1:15" x14ac:dyDescent="0.4"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6" t="s">
        <v>16</v>
      </c>
      <c r="I2" s="6" t="s">
        <v>17</v>
      </c>
      <c r="J2" s="5" t="s">
        <v>18</v>
      </c>
      <c r="K2" s="5" t="s">
        <v>19</v>
      </c>
      <c r="L2" s="5" t="s">
        <v>20</v>
      </c>
      <c r="M2" s="5" t="s">
        <v>21</v>
      </c>
      <c r="N2" s="5" t="s">
        <v>22</v>
      </c>
      <c r="O2" s="5" t="s">
        <v>23</v>
      </c>
    </row>
    <row r="3" spans="1:15" ht="31.5" x14ac:dyDescent="0.4">
      <c r="B3" s="3">
        <f>ROW()-3</f>
        <v>0</v>
      </c>
      <c r="C3" s="13" t="s">
        <v>24</v>
      </c>
      <c r="D3" s="13" t="s">
        <v>25</v>
      </c>
      <c r="E3" s="13" t="s">
        <v>26</v>
      </c>
      <c r="F3" s="13" t="s">
        <v>27</v>
      </c>
      <c r="G3" s="14">
        <v>0.375</v>
      </c>
      <c r="H3" s="7" t="s">
        <v>28</v>
      </c>
      <c r="I3" s="7" t="s">
        <v>29</v>
      </c>
      <c r="J3" s="16" t="s">
        <v>30</v>
      </c>
      <c r="K3" s="13" t="s">
        <v>91</v>
      </c>
      <c r="L3" s="15" t="s">
        <v>31</v>
      </c>
      <c r="M3" s="15" t="s">
        <v>32</v>
      </c>
      <c r="N3" s="15" t="s">
        <v>33</v>
      </c>
      <c r="O3" s="3" t="s">
        <v>34</v>
      </c>
    </row>
    <row r="4" spans="1:15" ht="31.5" x14ac:dyDescent="0.4">
      <c r="B4" s="3">
        <f>ROW()-3</f>
        <v>1</v>
      </c>
      <c r="C4" s="13" t="s">
        <v>35</v>
      </c>
      <c r="D4" s="13" t="s">
        <v>25</v>
      </c>
      <c r="E4" s="13" t="s">
        <v>36</v>
      </c>
      <c r="F4" s="13" t="s">
        <v>27</v>
      </c>
      <c r="G4" s="14">
        <v>0.36805555555555558</v>
      </c>
      <c r="H4" s="7" t="s">
        <v>86</v>
      </c>
      <c r="I4" s="7" t="s">
        <v>37</v>
      </c>
      <c r="J4" s="16" t="s">
        <v>30</v>
      </c>
      <c r="K4" s="13" t="s">
        <v>87</v>
      </c>
      <c r="L4" s="15" t="s">
        <v>93</v>
      </c>
      <c r="M4" s="15" t="s">
        <v>32</v>
      </c>
      <c r="N4" s="15" t="s">
        <v>33</v>
      </c>
      <c r="O4" s="3" t="s">
        <v>38</v>
      </c>
    </row>
    <row r="5" spans="1:15" ht="47.25" x14ac:dyDescent="0.4">
      <c r="B5" s="3">
        <f t="shared" ref="B5:B14" si="0">ROW()-3</f>
        <v>2</v>
      </c>
      <c r="C5" s="13" t="s">
        <v>39</v>
      </c>
      <c r="D5" s="13" t="s">
        <v>25</v>
      </c>
      <c r="E5" s="13" t="s">
        <v>36</v>
      </c>
      <c r="F5" s="13" t="s">
        <v>27</v>
      </c>
      <c r="G5" s="14">
        <v>0.36805555555555558</v>
      </c>
      <c r="H5" s="17" t="s">
        <v>94</v>
      </c>
      <c r="I5" s="17" t="s">
        <v>95</v>
      </c>
      <c r="J5" s="16" t="s">
        <v>30</v>
      </c>
      <c r="K5" s="13" t="s">
        <v>88</v>
      </c>
      <c r="L5" s="15" t="s">
        <v>93</v>
      </c>
      <c r="M5" s="15" t="s">
        <v>32</v>
      </c>
      <c r="N5" s="15" t="s">
        <v>33</v>
      </c>
      <c r="O5" s="3" t="s">
        <v>40</v>
      </c>
    </row>
    <row r="6" spans="1:15" ht="47.25" x14ac:dyDescent="0.4">
      <c r="B6" s="3">
        <f t="shared" si="0"/>
        <v>3</v>
      </c>
      <c r="C6" s="13" t="s">
        <v>41</v>
      </c>
      <c r="D6" s="13" t="s">
        <v>25</v>
      </c>
      <c r="E6" s="13" t="s">
        <v>36</v>
      </c>
      <c r="F6" s="13" t="s">
        <v>27</v>
      </c>
      <c r="G6" s="14">
        <v>0.36805555555555558</v>
      </c>
      <c r="H6" s="17" t="s">
        <v>97</v>
      </c>
      <c r="I6" s="17" t="s">
        <v>96</v>
      </c>
      <c r="J6" s="16" t="s">
        <v>30</v>
      </c>
      <c r="K6" s="13" t="s">
        <v>89</v>
      </c>
      <c r="L6" s="15" t="s">
        <v>93</v>
      </c>
      <c r="M6" s="15" t="s">
        <v>32</v>
      </c>
      <c r="N6" s="15" t="s">
        <v>33</v>
      </c>
      <c r="O6" s="3" t="s">
        <v>42</v>
      </c>
    </row>
    <row r="7" spans="1:15" ht="47.25" x14ac:dyDescent="0.4">
      <c r="B7" s="3">
        <f t="shared" si="0"/>
        <v>4</v>
      </c>
      <c r="C7" s="13" t="s">
        <v>43</v>
      </c>
      <c r="D7" s="13" t="s">
        <v>25</v>
      </c>
      <c r="E7" s="13" t="s">
        <v>36</v>
      </c>
      <c r="F7" s="13" t="s">
        <v>27</v>
      </c>
      <c r="G7" s="14">
        <v>0.36805555555555558</v>
      </c>
      <c r="H7" s="17" t="s">
        <v>98</v>
      </c>
      <c r="I7" s="17" t="s">
        <v>99</v>
      </c>
      <c r="J7" s="16" t="s">
        <v>30</v>
      </c>
      <c r="K7" s="13" t="s">
        <v>90</v>
      </c>
      <c r="L7" s="15" t="s">
        <v>93</v>
      </c>
      <c r="M7" s="15" t="s">
        <v>32</v>
      </c>
      <c r="N7" s="15" t="s">
        <v>33</v>
      </c>
      <c r="O7" s="3" t="s">
        <v>44</v>
      </c>
    </row>
    <row r="8" spans="1:15" x14ac:dyDescent="0.4">
      <c r="B8" s="3">
        <f t="shared" si="0"/>
        <v>5</v>
      </c>
      <c r="C8" s="3"/>
      <c r="D8" s="3"/>
      <c r="E8" s="3"/>
      <c r="F8" s="3"/>
      <c r="G8" s="3"/>
      <c r="H8" s="8"/>
      <c r="I8" s="8"/>
      <c r="J8" s="10"/>
      <c r="K8" s="3"/>
      <c r="L8" s="10"/>
      <c r="M8" s="10"/>
      <c r="N8" s="10"/>
      <c r="O8" s="3"/>
    </row>
    <row r="9" spans="1:15" x14ac:dyDescent="0.4">
      <c r="B9" s="3">
        <f t="shared" si="0"/>
        <v>6</v>
      </c>
      <c r="C9" s="3"/>
      <c r="D9" s="3"/>
      <c r="E9" s="3"/>
      <c r="F9" s="3"/>
      <c r="G9" s="3"/>
      <c r="H9" s="8"/>
      <c r="I9" s="8"/>
      <c r="J9" s="10"/>
      <c r="K9" s="3"/>
      <c r="L9" s="10"/>
      <c r="M9" s="10"/>
      <c r="N9" s="10"/>
      <c r="O9" s="3"/>
    </row>
    <row r="10" spans="1:15" x14ac:dyDescent="0.4">
      <c r="B10" s="3">
        <f t="shared" si="0"/>
        <v>7</v>
      </c>
      <c r="C10" s="3"/>
      <c r="D10" s="3"/>
      <c r="E10" s="3"/>
      <c r="F10" s="3"/>
      <c r="G10" s="3"/>
      <c r="H10" s="8"/>
      <c r="I10" s="8"/>
      <c r="J10" s="10"/>
      <c r="K10" s="3"/>
      <c r="L10" s="10"/>
      <c r="M10" s="10"/>
      <c r="N10" s="10"/>
      <c r="O10" s="3"/>
    </row>
    <row r="11" spans="1:15" x14ac:dyDescent="0.4">
      <c r="B11" s="3">
        <f t="shared" si="0"/>
        <v>8</v>
      </c>
      <c r="C11" s="3"/>
      <c r="D11" s="3"/>
      <c r="E11" s="3"/>
      <c r="F11" s="3"/>
      <c r="G11" s="3"/>
      <c r="H11" s="8"/>
      <c r="I11" s="8"/>
      <c r="J11" s="10"/>
      <c r="K11" s="3"/>
      <c r="L11" s="10"/>
      <c r="M11" s="10"/>
      <c r="N11" s="10"/>
      <c r="O11" s="3"/>
    </row>
    <row r="12" spans="1:15" x14ac:dyDescent="0.4">
      <c r="B12" s="3">
        <f t="shared" si="0"/>
        <v>9</v>
      </c>
      <c r="C12" s="3"/>
      <c r="D12" s="3"/>
      <c r="E12" s="3"/>
      <c r="F12" s="3"/>
      <c r="G12" s="3"/>
      <c r="H12" s="8"/>
      <c r="I12" s="8"/>
      <c r="J12" s="10"/>
      <c r="K12" s="3"/>
      <c r="L12" s="10"/>
      <c r="M12" s="10"/>
      <c r="N12" s="10"/>
      <c r="O12" s="3"/>
    </row>
    <row r="13" spans="1:15" x14ac:dyDescent="0.4">
      <c r="B13" s="3">
        <f t="shared" si="0"/>
        <v>10</v>
      </c>
      <c r="C13" s="3"/>
      <c r="D13" s="3"/>
      <c r="E13" s="3"/>
      <c r="F13" s="3"/>
      <c r="G13" s="3"/>
      <c r="H13" s="8"/>
      <c r="I13" s="8"/>
      <c r="J13" s="10"/>
      <c r="K13" s="3"/>
      <c r="L13" s="10"/>
      <c r="M13" s="10"/>
      <c r="N13" s="10"/>
      <c r="O13" s="3"/>
    </row>
    <row r="14" spans="1:15" x14ac:dyDescent="0.4">
      <c r="B14" s="3">
        <f t="shared" si="0"/>
        <v>11</v>
      </c>
      <c r="C14" s="3"/>
      <c r="D14" s="3"/>
      <c r="E14" s="3"/>
      <c r="F14" s="3"/>
      <c r="G14" s="3"/>
      <c r="H14" s="8"/>
      <c r="I14" s="8"/>
      <c r="J14" s="10"/>
      <c r="K14" s="3"/>
      <c r="L14" s="10"/>
      <c r="M14" s="10"/>
      <c r="N14" s="10"/>
      <c r="O14" s="3"/>
    </row>
    <row r="16" spans="1:15" x14ac:dyDescent="0.4">
      <c r="B16" s="11" t="s">
        <v>45</v>
      </c>
      <c r="C16" s="12"/>
      <c r="D16" s="11"/>
      <c r="E16" s="12"/>
      <c r="F16" s="12"/>
      <c r="G16" s="12"/>
    </row>
    <row r="17" spans="2:7" x14ac:dyDescent="0.4">
      <c r="B17" s="11" t="s">
        <v>46</v>
      </c>
      <c r="C17" s="12"/>
      <c r="D17" s="11"/>
      <c r="E17" s="12"/>
      <c r="F17" s="12"/>
      <c r="G17" s="12"/>
    </row>
    <row r="18" spans="2:7" x14ac:dyDescent="0.4">
      <c r="B18" s="11" t="s">
        <v>92</v>
      </c>
      <c r="C18" s="12"/>
      <c r="D18" s="11"/>
      <c r="E18" s="12"/>
      <c r="F18" s="12"/>
      <c r="G18" s="12"/>
    </row>
    <row r="19" spans="2:7" x14ac:dyDescent="0.4">
      <c r="B19" s="11" t="s">
        <v>47</v>
      </c>
      <c r="C19" s="12"/>
      <c r="D19" s="11"/>
      <c r="E19" s="12"/>
      <c r="F19" s="12"/>
      <c r="G19" s="12"/>
    </row>
    <row r="20" spans="2:7" x14ac:dyDescent="0.4">
      <c r="B20" s="11" t="s">
        <v>48</v>
      </c>
      <c r="C20" s="12"/>
      <c r="D20" s="11"/>
      <c r="E20" s="12"/>
      <c r="F20" s="12"/>
      <c r="G20" s="12"/>
    </row>
    <row r="21" spans="2:7" x14ac:dyDescent="0.4">
      <c r="B21" s="11" t="s">
        <v>49</v>
      </c>
      <c r="C21" s="12"/>
      <c r="D21" s="11"/>
      <c r="E21" s="12"/>
      <c r="F21" s="12"/>
      <c r="G21" s="12"/>
    </row>
    <row r="22" spans="2:7" x14ac:dyDescent="0.4">
      <c r="B22" s="11" t="s">
        <v>50</v>
      </c>
      <c r="C22" s="12"/>
      <c r="D22" s="11"/>
      <c r="E22" s="12"/>
      <c r="F22" s="12"/>
      <c r="G22" s="12"/>
    </row>
    <row r="23" spans="2:7" x14ac:dyDescent="0.4">
      <c r="B23" s="11"/>
      <c r="C23" s="12"/>
      <c r="D23" s="11"/>
      <c r="E23" s="12"/>
      <c r="F23" s="12"/>
      <c r="G23" s="12"/>
    </row>
    <row r="24" spans="2:7" x14ac:dyDescent="0.4">
      <c r="B24" s="11" t="s">
        <v>51</v>
      </c>
      <c r="C24" s="12"/>
      <c r="D24" s="11"/>
      <c r="E24" s="12"/>
      <c r="F24" s="12"/>
      <c r="G24" s="12"/>
    </row>
    <row r="25" spans="2:7" x14ac:dyDescent="0.4">
      <c r="B25" s="11" t="s">
        <v>52</v>
      </c>
      <c r="C25" s="12"/>
      <c r="D25" s="11"/>
      <c r="E25" s="12"/>
    </row>
    <row r="26" spans="2:7" x14ac:dyDescent="0.4">
      <c r="B26" s="11" t="s">
        <v>53</v>
      </c>
      <c r="C26" s="12"/>
      <c r="D26" s="11"/>
      <c r="E26" s="12"/>
    </row>
    <row r="27" spans="2:7" x14ac:dyDescent="0.4">
      <c r="B27" s="11" t="s">
        <v>54</v>
      </c>
      <c r="C27" s="12"/>
      <c r="D27" s="11"/>
      <c r="E27" s="12"/>
    </row>
    <row r="28" spans="2:7" x14ac:dyDescent="0.4">
      <c r="B28" s="11" t="s">
        <v>55</v>
      </c>
      <c r="C28" s="12"/>
      <c r="D28" s="11"/>
      <c r="E28" s="12"/>
    </row>
    <row r="29" spans="2:7" x14ac:dyDescent="0.4">
      <c r="B29" s="11" t="s">
        <v>56</v>
      </c>
      <c r="C29" s="12"/>
      <c r="D29" s="11"/>
      <c r="E29" s="12"/>
    </row>
    <row r="30" spans="2:7" x14ac:dyDescent="0.4">
      <c r="B30" s="11" t="s">
        <v>57</v>
      </c>
      <c r="C30" s="12"/>
      <c r="D30" s="11"/>
      <c r="E30" s="12"/>
    </row>
    <row r="31" spans="2:7" x14ac:dyDescent="0.4">
      <c r="B31" s="11" t="s">
        <v>58</v>
      </c>
      <c r="C31" s="12"/>
      <c r="D31" s="11"/>
      <c r="E31" s="12"/>
    </row>
    <row r="32" spans="2:7" x14ac:dyDescent="0.4">
      <c r="B32" s="11" t="s">
        <v>59</v>
      </c>
      <c r="C32" s="12"/>
      <c r="D32" s="11"/>
      <c r="E32" s="12"/>
    </row>
    <row r="34" spans="2:2" x14ac:dyDescent="0.4">
      <c r="B34" s="1" t="s">
        <v>60</v>
      </c>
    </row>
    <row r="35" spans="2:2" x14ac:dyDescent="0.4">
      <c r="B35" s="1" t="s">
        <v>61</v>
      </c>
    </row>
    <row r="36" spans="2:2" x14ac:dyDescent="0.4">
      <c r="B36" s="1" t="s">
        <v>62</v>
      </c>
    </row>
  </sheetData>
  <phoneticPr fontId="1"/>
  <hyperlinks>
    <hyperlink ref="I4" r:id="rId1" xr:uid="{E780EC76-BE1F-468B-8E68-396E4ED92DD7}"/>
    <hyperlink ref="I3" r:id="rId2" xr:uid="{312595E5-2AB3-44BB-8380-1B441D48EB55}"/>
    <hyperlink ref="H4" r:id="rId3" xr:uid="{EA692C08-F943-498F-82C7-9F1EB193E952}"/>
    <hyperlink ref="H3" r:id="rId4" xr:uid="{C7D47F9C-BE59-4EBA-AA7B-CE390C043C66}"/>
    <hyperlink ref="H5" r:id="rId5" xr:uid="{F1B9E42F-0B6F-495C-B612-DEB0A376AB35}"/>
    <hyperlink ref="H6" r:id="rId6" xr:uid="{745E9D2A-2FC0-438A-9D4A-3311724AB342}"/>
    <hyperlink ref="H7" r:id="rId7" xr:uid="{9F49BF64-6827-4F55-BA43-A1CB1AFB9BF3}"/>
    <hyperlink ref="I5" r:id="rId8" xr:uid="{58436F02-2ADE-402F-81AC-50A7FABFAF69}"/>
    <hyperlink ref="I6" r:id="rId9" xr:uid="{CBE79565-7B6B-420A-91EA-F8601C612430}"/>
    <hyperlink ref="I7" r:id="rId10" xr:uid="{AF194A79-3D4C-4AEF-A593-7D463912CE72}"/>
  </hyperlinks>
  <pageMargins left="0.7" right="0.7" top="0.75" bottom="0.75" header="0.3" footer="0.3"/>
  <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B7F6A-1276-4D32-A752-8D0450E8FA3D}">
  <dimension ref="A1:I20"/>
  <sheetViews>
    <sheetView zoomScale="85" zoomScaleNormal="85" workbookViewId="0">
      <pane ySplit="2" topLeftCell="A3" activePane="bottomLeft" state="frozen"/>
      <selection pane="bottomLeft" activeCell="A3" sqref="A3"/>
    </sheetView>
  </sheetViews>
  <sheetFormatPr defaultRowHeight="15.75" x14ac:dyDescent="0.4"/>
  <cols>
    <col min="1" max="1" width="1.875" style="1" customWidth="1"/>
    <col min="2" max="2" width="3.625" style="1" customWidth="1"/>
    <col min="3" max="3" width="15.125" style="1" bestFit="1" customWidth="1"/>
    <col min="4" max="4" width="51.625" style="1" customWidth="1"/>
    <col min="5" max="5" width="19.125" style="1" customWidth="1"/>
    <col min="6" max="6" width="29.875" style="1" customWidth="1"/>
    <col min="7" max="7" width="30.75" style="1" customWidth="1"/>
    <col min="8" max="8" width="60.875" style="1" customWidth="1"/>
    <col min="9" max="9" width="62.5" style="1" customWidth="1"/>
    <col min="10" max="16384" width="9" style="1"/>
  </cols>
  <sheetData>
    <row r="1" spans="1:9" x14ac:dyDescent="0.4">
      <c r="A1" s="1" t="s">
        <v>63</v>
      </c>
    </row>
    <row r="2" spans="1:9" x14ac:dyDescent="0.4">
      <c r="B2" s="5" t="s">
        <v>10</v>
      </c>
      <c r="C2" s="5" t="s">
        <v>19</v>
      </c>
      <c r="D2" s="5" t="s">
        <v>64</v>
      </c>
      <c r="E2" s="5" t="s">
        <v>65</v>
      </c>
      <c r="F2" s="5" t="s">
        <v>66</v>
      </c>
      <c r="G2" s="5" t="s">
        <v>67</v>
      </c>
      <c r="H2" s="5" t="s">
        <v>68</v>
      </c>
      <c r="I2" s="5" t="s">
        <v>69</v>
      </c>
    </row>
    <row r="3" spans="1:9" x14ac:dyDescent="0.4">
      <c r="B3" s="3">
        <f>ROW()-2</f>
        <v>1</v>
      </c>
      <c r="C3" s="8" t="s">
        <v>70</v>
      </c>
      <c r="D3" s="3" t="str">
        <f>_xlfn.XLOOKUP(LEFT(C3,9),ジョブネット一覧!C:C,ジョブネット一覧!O:O)</f>
        <v>MC_logをDataspider→Azureストレージへコピー</v>
      </c>
      <c r="E3" s="3" t="s">
        <v>71</v>
      </c>
      <c r="F3" s="3" t="s">
        <v>72</v>
      </c>
      <c r="G3" s="3" t="s">
        <v>73</v>
      </c>
      <c r="H3" s="3" t="str">
        <f>_xlfn.LET(_xlpm.n, _xlfn.TEXTBEFORE(_xlfn.TEXTAFTER(F3,"exec\bin\bat\"),".bat"),
"exec\log\" &amp; _xlpm.n &amp; "\" &amp; _xlpm.n &amp; "_{yyyyMMdd_HHmmss}_out.log")</f>
        <v>exec\log\HZDSN0100\HZDSN0100_{yyyyMMdd_HHmmss}_out.log</v>
      </c>
      <c r="I3" s="3" t="str">
        <f>_xlfn.LET(_xlpm.n, _xlfn.TEXTBEFORE(_xlfn.TEXTAFTER(F3,"exec\bin\bat\"),".bat"),
"exec\log\" &amp; _xlpm.n &amp; "\" &amp; _xlpm.n &amp; "_{yyyyMMdd_HHmmss}_err.log")</f>
        <v>exec\log\HZDSN0100\HZDSN0100_{yyyyMMdd_HHmmss}_err.log</v>
      </c>
    </row>
    <row r="4" spans="1:9" x14ac:dyDescent="0.4">
      <c r="B4" s="3">
        <f t="shared" ref="B4:B13" si="0">ROW()-2</f>
        <v>2</v>
      </c>
      <c r="C4" s="8" t="s">
        <v>74</v>
      </c>
      <c r="D4" s="3" t="s">
        <v>40</v>
      </c>
      <c r="E4" s="3" t="s">
        <v>71</v>
      </c>
      <c r="F4" s="3" t="s">
        <v>75</v>
      </c>
      <c r="G4" s="3" t="s">
        <v>76</v>
      </c>
      <c r="H4" s="3" t="str">
        <f t="shared" ref="H4:H5" si="1">_xlfn.LET(_xlpm.n, _xlfn.TEXTBEFORE(_xlfn.TEXTAFTER(F4,"exec\bin\bat\"),".bat"),
"exec\log\" &amp; _xlpm.n &amp; "\" &amp; _xlpm.n &amp; "_{yyyyMMdd_HHmmss}_out.log")</f>
        <v>exec\log\HZDSN0040\HZDSN0040_{yyyyMMdd_HHmmss}_out.log</v>
      </c>
      <c r="I4" s="3" t="str">
        <f t="shared" ref="I4:I5" si="2">_xlfn.LET(_xlpm.n, _xlfn.TEXTBEFORE(_xlfn.TEXTAFTER(F4,"exec\bin\bat\"),".bat"),
"exec\log\" &amp; _xlpm.n &amp; "\" &amp; _xlpm.n &amp; "_{yyyyMMdd_HHmmss}_err.log")</f>
        <v>exec\log\HZDSN0040\HZDSN0040_{yyyyMMdd_HHmmss}_err.log</v>
      </c>
    </row>
    <row r="5" spans="1:9" x14ac:dyDescent="0.4">
      <c r="B5" s="3">
        <f t="shared" si="0"/>
        <v>3</v>
      </c>
      <c r="C5" s="8" t="s">
        <v>77</v>
      </c>
      <c r="D5" s="3" t="s">
        <v>42</v>
      </c>
      <c r="E5" s="3" t="s">
        <v>71</v>
      </c>
      <c r="F5" s="3" t="s">
        <v>78</v>
      </c>
      <c r="G5" s="3" t="s">
        <v>79</v>
      </c>
      <c r="H5" s="3" t="str">
        <f t="shared" si="1"/>
        <v>exec\log\HZDSN0080\HZDSN0080_{yyyyMMdd_HHmmss}_out.log</v>
      </c>
      <c r="I5" s="3" t="str">
        <f t="shared" si="2"/>
        <v>exec\log\HZDSN0080\HZDSN0080_{yyyyMMdd_HHmmss}_err.log</v>
      </c>
    </row>
    <row r="6" spans="1:9" x14ac:dyDescent="0.4">
      <c r="B6" s="3">
        <f t="shared" si="0"/>
        <v>4</v>
      </c>
      <c r="C6" s="8" t="s">
        <v>80</v>
      </c>
      <c r="D6" s="3" t="s">
        <v>44</v>
      </c>
      <c r="E6" s="3" t="s">
        <v>71</v>
      </c>
      <c r="F6" s="3" t="s">
        <v>81</v>
      </c>
      <c r="G6" s="3" t="s">
        <v>82</v>
      </c>
      <c r="H6" s="3" t="str">
        <f>_xlfn.LET(_xlpm.n, _xlfn.TEXTBEFORE(_xlfn.TEXTAFTER(F6,"exec\bin\bat\"),".bat"),
"exec\log\" &amp; _xlpm.n &amp; "\" &amp; _xlpm.n &amp; "_{yyyyMMdd_HHmmss}_out.log")</f>
        <v>exec\log\HZDSN0090\HZDSN0090_{yyyyMMdd_HHmmss}_out.log</v>
      </c>
      <c r="I6" s="3" t="str">
        <f>_xlfn.LET(_xlpm.n, _xlfn.TEXTBEFORE(_xlfn.TEXTAFTER(F6,"exec\bin\bat\"),".bat"),
"exec\log\" &amp; _xlpm.n &amp; "\" &amp; _xlpm.n &amp; "_{yyyyMMdd_HHmmss}_err.log")</f>
        <v>exec\log\HZDSN0090\HZDSN0090_{yyyyMMdd_HHmmss}_err.log</v>
      </c>
    </row>
    <row r="7" spans="1:9" x14ac:dyDescent="0.4">
      <c r="B7" s="3">
        <f t="shared" si="0"/>
        <v>5</v>
      </c>
      <c r="C7" s="3"/>
      <c r="D7" s="3"/>
      <c r="E7" s="3"/>
      <c r="F7" s="3"/>
      <c r="G7" s="3"/>
      <c r="H7" s="3" t="str">
        <f>_xlfn.LET(_xlpm.n, IFERROR(_xlfn.TEXTBEFORE(_xlfn.TEXTAFTER(F7,"exec\bin\bat\"),".bat"), ""),_xlpm.n)</f>
        <v/>
      </c>
      <c r="I7" s="3" t="str">
        <f>IF(F7="","",
  _xlfn.LET(
    _xlpm.n, IFERROR(_xlfn.TEXTBEFORE(_xlfn.TEXTAFTER(F7,"exec\bin\bat\"),".bat"),""),
    IF(_xlpm.n="","", "exec\log\" &amp; _xlpm.n &amp; "\" &amp; _xlpm.n &amp; "_{yyyyMMdd_HHmmss}_err.log")
  )
)</f>
        <v/>
      </c>
    </row>
    <row r="8" spans="1:9" x14ac:dyDescent="0.4">
      <c r="B8" s="3">
        <f t="shared" si="0"/>
        <v>6</v>
      </c>
      <c r="C8" s="3"/>
      <c r="D8" s="3"/>
      <c r="E8" s="3"/>
      <c r="F8" s="3"/>
      <c r="G8" s="3"/>
      <c r="H8" s="3" t="str">
        <f>_xlfn.LET(_xlpm.n, IFERROR(_xlfn.TEXTBEFORE(_xlfn.TEXTAFTER(F8,"exec\bin\bat\"),".bat"), ""),_xlpm.n)</f>
        <v/>
      </c>
      <c r="I8" s="3" t="str">
        <f>IF(F8="","",
  _xlfn.LET(
    _xlpm.n, IFERROR(_xlfn.TEXTBEFORE(_xlfn.TEXTAFTER(F8,"exec\bin\bat\"),".bat"),""),
    IF(_xlpm.n="","", "exec\log\" &amp; _xlpm.n &amp; "\" &amp; _xlpm.n &amp; "_{yyyyMMdd_HHmmss}_err.log")
  )
)</f>
        <v/>
      </c>
    </row>
    <row r="9" spans="1:9" x14ac:dyDescent="0.4">
      <c r="B9" s="3">
        <f t="shared" si="0"/>
        <v>7</v>
      </c>
      <c r="C9" s="3"/>
      <c r="D9" s="3"/>
      <c r="E9" s="3"/>
      <c r="F9" s="3"/>
      <c r="G9" s="3"/>
      <c r="H9" s="3" t="str">
        <f>_xlfn.LET(_xlpm.n, IFERROR(_xlfn.TEXTBEFORE(_xlfn.TEXTAFTER(F9,"exec\bin\bat\"),".bat"), ""),_xlpm.n)</f>
        <v/>
      </c>
      <c r="I9" s="3" t="str">
        <f t="shared" ref="I9:I13" si="3">IF(F9="","",
  _xlfn.LET(
    _xlpm.n, IFERROR(_xlfn.TEXTBEFORE(_xlfn.TEXTAFTER(F9,"exec\bin\bat\"),".bat"),""),
    IF(_xlpm.n="","", "exec\log\" &amp; _xlpm.n &amp; "\" &amp; _xlpm.n &amp; "_{yyyyMMdd_HHmmss}_err.log")
  )
)</f>
        <v/>
      </c>
    </row>
    <row r="10" spans="1:9" x14ac:dyDescent="0.4">
      <c r="B10" s="3">
        <f t="shared" si="0"/>
        <v>8</v>
      </c>
      <c r="C10" s="3"/>
      <c r="D10" s="3"/>
      <c r="E10" s="3"/>
      <c r="F10" s="3"/>
      <c r="G10" s="3"/>
      <c r="H10" s="3" t="str">
        <f t="shared" ref="H10:H13" si="4">_xlfn.LET(_xlpm.n, IFERROR(_xlfn.TEXTBEFORE(_xlfn.TEXTAFTER(F10,"exec\bin\bat\"),".bat"), ""),_xlpm.n)</f>
        <v/>
      </c>
      <c r="I10" s="3" t="str">
        <f t="shared" si="3"/>
        <v/>
      </c>
    </row>
    <row r="11" spans="1:9" x14ac:dyDescent="0.4">
      <c r="B11" s="3">
        <f t="shared" si="0"/>
        <v>9</v>
      </c>
      <c r="C11" s="3"/>
      <c r="D11" s="3"/>
      <c r="E11" s="3"/>
      <c r="F11" s="3"/>
      <c r="G11" s="3"/>
      <c r="H11" s="3" t="str">
        <f t="shared" si="4"/>
        <v/>
      </c>
      <c r="I11" s="3" t="str">
        <f t="shared" si="3"/>
        <v/>
      </c>
    </row>
    <row r="12" spans="1:9" x14ac:dyDescent="0.4">
      <c r="B12" s="3">
        <f t="shared" si="0"/>
        <v>10</v>
      </c>
      <c r="C12" s="3"/>
      <c r="D12" s="3"/>
      <c r="E12" s="3"/>
      <c r="F12" s="3"/>
      <c r="G12" s="3"/>
      <c r="H12" s="3" t="str">
        <f t="shared" si="4"/>
        <v/>
      </c>
      <c r="I12" s="3" t="str">
        <f t="shared" si="3"/>
        <v/>
      </c>
    </row>
    <row r="13" spans="1:9" x14ac:dyDescent="0.4">
      <c r="B13" s="3">
        <f t="shared" si="0"/>
        <v>11</v>
      </c>
      <c r="C13" s="3"/>
      <c r="D13" s="3"/>
      <c r="E13" s="3"/>
      <c r="F13" s="3"/>
      <c r="G13" s="3"/>
      <c r="H13" s="3" t="str">
        <f t="shared" si="4"/>
        <v/>
      </c>
      <c r="I13" s="3" t="str">
        <f t="shared" si="3"/>
        <v/>
      </c>
    </row>
    <row r="15" spans="1:9" x14ac:dyDescent="0.4">
      <c r="H15" s="1" t="s">
        <v>83</v>
      </c>
    </row>
    <row r="16" spans="1:9" x14ac:dyDescent="0.4">
      <c r="H16" s="1" t="s">
        <v>84</v>
      </c>
      <c r="I16" s="1" t="s">
        <v>85</v>
      </c>
    </row>
    <row r="20" spans="3:3" x14ac:dyDescent="0.4">
      <c r="C20" s="11"/>
    </row>
  </sheetData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A4C52A01CEBFF40AE45D10DA927A547" ma:contentTypeVersion="11" ma:contentTypeDescription="新しいドキュメントを作成します。" ma:contentTypeScope="" ma:versionID="28d47f0a2ac0a03d0a141d0a7f638e0b">
  <xsd:schema xmlns:xsd="http://www.w3.org/2001/XMLSchema" xmlns:xs="http://www.w3.org/2001/XMLSchema" xmlns:p="http://schemas.microsoft.com/office/2006/metadata/properties" xmlns:ns2="b5c37a85-733b-43ca-bcfb-a65fb0b4108a" xmlns:ns3="c8b0e60a-39fc-4745-abaa-4e95a5ee6b11" targetNamespace="http://schemas.microsoft.com/office/2006/metadata/properties" ma:root="true" ma:fieldsID="4140b07b92875aa8fe6d384889a2cf43" ns2:_="" ns3:_="">
    <xsd:import namespace="b5c37a85-733b-43ca-bcfb-a65fb0b4108a"/>
    <xsd:import namespace="c8b0e60a-39fc-4745-abaa-4e95a5ee6b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c37a85-733b-43ca-bcfb-a65fb0b410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c1df4d3c-c4e6-4899-bdf0-e43e9c10e6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b0e60a-39fc-4745-abaa-4e95a5ee6b1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f552ab2-b0c2-4fb4-8523-feac73e70c20}" ma:internalName="TaxCatchAll" ma:showField="CatchAllData" ma:web="c8b0e60a-39fc-4745-abaa-4e95a5ee6b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c37a85-733b-43ca-bcfb-a65fb0b4108a">
      <Terms xmlns="http://schemas.microsoft.com/office/infopath/2007/PartnerControls"/>
    </lcf76f155ced4ddcb4097134ff3c332f>
    <TaxCatchAll xmlns="c8b0e60a-39fc-4745-abaa-4e95a5ee6b11" xsi:nil="true"/>
  </documentManagement>
</p:properties>
</file>

<file path=customXml/itemProps1.xml><?xml version="1.0" encoding="utf-8"?>
<ds:datastoreItem xmlns:ds="http://schemas.openxmlformats.org/officeDocument/2006/customXml" ds:itemID="{8AC953BD-BE97-43E1-9FA1-6FE5B0AB74B1}"/>
</file>

<file path=customXml/itemProps2.xml><?xml version="1.0" encoding="utf-8"?>
<ds:datastoreItem xmlns:ds="http://schemas.openxmlformats.org/officeDocument/2006/customXml" ds:itemID="{10CD601E-56A7-42BD-9C3D-392D55B9F99D}"/>
</file>

<file path=customXml/itemProps3.xml><?xml version="1.0" encoding="utf-8"?>
<ds:datastoreItem xmlns:ds="http://schemas.openxmlformats.org/officeDocument/2006/customXml" ds:itemID="{9F4BAB5B-CF8B-492E-B07B-008BA9E8DD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更新履歴</vt:lpstr>
      <vt:lpstr>ジョブネット一覧</vt:lpstr>
      <vt:lpstr>PCジョブ一覧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W5249687</dc:creator>
  <cp:keywords/>
  <dc:description/>
  <cp:lastModifiedBy>Takahito Tanaka</cp:lastModifiedBy>
  <cp:revision/>
  <dcterms:created xsi:type="dcterms:W3CDTF">2025-07-18T11:23:39Z</dcterms:created>
  <dcterms:modified xsi:type="dcterms:W3CDTF">2025-09-22T07:14:42Z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0x0101006A4C52A01CEBFF40AE45D10DA927A547</vt:lpwstr>
  </property>
</Properties>
</file>